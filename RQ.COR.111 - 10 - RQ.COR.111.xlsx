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nior.antonio\Downloads\"/>
    </mc:Choice>
  </mc:AlternateContent>
  <xr:revisionPtr revIDLastSave="0" documentId="13_ncr:1_{19359B8C-1DEA-4744-BF8E-15920707CA1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ontos " sheetId="11" r:id="rId1"/>
    <sheet name="Esteira Ergomé" sheetId="26" state="hidden" r:id="rId2"/>
  </sheets>
  <definedNames>
    <definedName name="_xlnm.Print_Area" localSheetId="1">'Esteira Ergomé'!$A$1:$F$14</definedName>
    <definedName name="_xlnm.Print_Area" localSheetId="0">'Pontos '!$A$1:$E$25</definedName>
  </definedNames>
  <calcPr calcId="191029" concurrentCalc="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6" l="1"/>
  <c r="E14" i="26"/>
  <c r="F13" i="26"/>
  <c r="E13" i="26"/>
  <c r="F12" i="26"/>
  <c r="E12" i="26"/>
  <c r="F11" i="26"/>
  <c r="E11" i="26"/>
  <c r="F10" i="26"/>
  <c r="E10" i="26"/>
  <c r="F9" i="26"/>
  <c r="E9" i="26"/>
  <c r="E11" i="11"/>
  <c r="D11" i="11"/>
  <c r="E10" i="11"/>
  <c r="D10" i="11"/>
  <c r="E9" i="11"/>
  <c r="D9" i="11"/>
  <c r="E8" i="11"/>
  <c r="D8" i="11"/>
  <c r="E7" i="11"/>
  <c r="D7" i="11"/>
  <c r="E6" i="11"/>
  <c r="D6" i="11"/>
  <c r="E5" i="11"/>
  <c r="D5" i="11"/>
  <c r="E4" i="11"/>
  <c r="D4" i="11"/>
  <c r="E3" i="11"/>
  <c r="D3" i="11"/>
  <c r="E2" i="11"/>
  <c r="D2" i="11"/>
</calcChain>
</file>

<file path=xl/sharedStrings.xml><?xml version="1.0" encoding="utf-8"?>
<sst xmlns="http://schemas.openxmlformats.org/spreadsheetml/2006/main" count="106" uniqueCount="26">
  <si>
    <t>Limite mínimo aceitável</t>
  </si>
  <si>
    <t>Limite máximo aceitável</t>
  </si>
  <si>
    <t>Desvio aceitável</t>
  </si>
  <si>
    <t>± 35 mmhg</t>
  </si>
  <si>
    <t>Valores para calibração no parâmetro de Capnografia
ETCO2%</t>
  </si>
  <si>
    <t>Tabela de Erros Permissíveis para Calibração de Equipamentos Médicos</t>
  </si>
  <si>
    <t>Tipo:</t>
  </si>
  <si>
    <t xml:space="preserve"> Registro</t>
  </si>
  <si>
    <t>Este documento faz parte do Sistema de Gestão da Qualidade da Unimed Porto Alegre</t>
  </si>
  <si>
    <r>
      <t>N</t>
    </r>
    <r>
      <rPr>
        <sz val="10"/>
        <color theme="1"/>
        <rFont val="Symbol"/>
        <family val="1"/>
        <charset val="2"/>
      </rPr>
      <t>°</t>
    </r>
    <r>
      <rPr>
        <sz val="10"/>
        <color theme="1"/>
        <rFont val="Arial"/>
        <family val="2"/>
      </rPr>
      <t xml:space="preserve"> / Rev.:</t>
    </r>
  </si>
  <si>
    <t>Elaborado em: 20/08/2018</t>
  </si>
  <si>
    <t>Revisado em: 23/07/2025</t>
  </si>
  <si>
    <t xml:space="preserve"> RQ.COR.111/08</t>
  </si>
  <si>
    <t>Balança digital - Neonatal</t>
  </si>
  <si>
    <t>Balança plataforma  500Kg</t>
  </si>
  <si>
    <t>Pontos para calibração no parâmetro
Km/h</t>
  </si>
  <si>
    <t xml:space="preserve">Pontos para calibração no parâmetro amplitude
</t>
  </si>
  <si>
    <t>Monitores de triagem</t>
  </si>
  <si>
    <t>Família de Equipamentos:
Esteira ergométrica</t>
  </si>
  <si>
    <t>Esteira ergométrica</t>
  </si>
  <si>
    <t>Balança digital e bioimpedância - Adultos</t>
  </si>
  <si>
    <t xml:space="preserve">Valor Ref </t>
  </si>
  <si>
    <t>Equipamentos</t>
  </si>
  <si>
    <t xml:space="preserve">Balança analítica </t>
  </si>
  <si>
    <t>Cardioversores e Desfibrilador Automático (DEA)</t>
  </si>
  <si>
    <t xml:space="preserve">monitores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</si>
</sst>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"/>
    <numFmt numFmtId="166" formatCode="0.0%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Symbol"/>
      <family val="1"/>
      <charset val="2"/>
    </font>
    <font>
      <b/>
      <sz val="11"/>
      <color theme="1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  <fill>
      <patternFill patternType="solid">
        <fgColor theme="2" tint="-9.9887081514938816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0" tint="-0.14993743705557422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0" fillId="0" borderId="4" xfId="0" applyBorder="1"/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3" fillId="2" borderId="13" xfId="0" applyNumberFormat="1" applyFont="1" applyFill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9" fontId="2" fillId="3" borderId="14" xfId="0" applyNumberFormat="1" applyFont="1" applyFill="1" applyBorder="1" applyAlignment="1">
      <alignment horizontal="center" vertical="center" wrapText="1"/>
    </xf>
    <xf numFmtId="9" fontId="2" fillId="0" borderId="14" xfId="0" applyNumberFormat="1" applyFont="1" applyBorder="1" applyAlignment="1">
      <alignment horizontal="center" vertical="center" wrapText="1"/>
    </xf>
    <xf numFmtId="2" fontId="0" fillId="2" borderId="22" xfId="0" applyNumberFormat="1" applyFill="1" applyBorder="1" applyAlignment="1">
      <alignment horizontal="center" vertical="center"/>
    </xf>
    <xf numFmtId="2" fontId="0" fillId="2" borderId="23" xfId="0" applyNumberFormat="1" applyFill="1" applyBorder="1" applyAlignment="1">
      <alignment horizontal="center" vertical="center"/>
    </xf>
    <xf numFmtId="2" fontId="0" fillId="2" borderId="17" xfId="0" applyNumberFormat="1" applyFill="1" applyBorder="1" applyAlignment="1">
      <alignment horizontal="center" vertical="center"/>
    </xf>
    <xf numFmtId="2" fontId="0" fillId="2" borderId="18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5" borderId="0" xfId="0" applyFill="1"/>
    <xf numFmtId="0" fontId="2" fillId="4" borderId="14" xfId="0" applyFont="1" applyFill="1" applyBorder="1" applyAlignment="1">
      <alignment horizontal="center" vertical="center" wrapText="1"/>
    </xf>
    <xf numFmtId="9" fontId="2" fillId="0" borderId="19" xfId="0" applyNumberFormat="1" applyFont="1" applyBorder="1" applyAlignment="1">
      <alignment horizontal="center" vertical="center" wrapText="1"/>
    </xf>
    <xf numFmtId="9" fontId="2" fillId="6" borderId="11" xfId="0" applyNumberFormat="1" applyFont="1" applyFill="1" applyBorder="1" applyAlignment="1">
      <alignment horizontal="center" vertical="center" wrapText="1"/>
    </xf>
    <xf numFmtId="2" fontId="0" fillId="6" borderId="11" xfId="0" applyNumberFormat="1" applyFill="1" applyBorder="1" applyAlignment="1">
      <alignment horizontal="center" vertical="center"/>
    </xf>
    <xf numFmtId="2" fontId="0" fillId="6" borderId="12" xfId="0" applyNumberFormat="1" applyFill="1" applyBorder="1" applyAlignment="1">
      <alignment horizontal="center" vertical="center"/>
    </xf>
    <xf numFmtId="2" fontId="0" fillId="4" borderId="14" xfId="0" applyNumberFormat="1" applyFill="1" applyBorder="1" applyAlignment="1">
      <alignment horizontal="center" vertical="center"/>
    </xf>
    <xf numFmtId="166" fontId="2" fillId="4" borderId="14" xfId="0" applyNumberFormat="1" applyFont="1" applyFill="1" applyBorder="1" applyAlignment="1">
      <alignment horizontal="center" vertical="center" wrapText="1"/>
    </xf>
    <xf numFmtId="2" fontId="3" fillId="6" borderId="21" xfId="0" applyNumberFormat="1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1" fontId="3" fillId="3" borderId="10" xfId="0" applyNumberFormat="1" applyFont="1" applyFill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2" borderId="16" xfId="0" applyNumberFormat="1" applyFont="1" applyFill="1" applyBorder="1" applyAlignment="1">
      <alignment horizontal="center" vertical="center" wrapText="1"/>
    </xf>
    <xf numFmtId="9" fontId="2" fillId="3" borderId="17" xfId="0" applyNumberFormat="1" applyFont="1" applyFill="1" applyBorder="1" applyAlignment="1">
      <alignment horizontal="center" vertical="center" wrapText="1"/>
    </xf>
    <xf numFmtId="9" fontId="2" fillId="3" borderId="19" xfId="0" applyNumberFormat="1" applyFont="1" applyFill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2" fontId="0" fillId="0" borderId="15" xfId="0" applyNumberFormat="1" applyBorder="1" applyAlignment="1">
      <alignment horizontal="center" vertical="center" wrapText="1"/>
    </xf>
    <xf numFmtId="2" fontId="0" fillId="3" borderId="19" xfId="0" applyNumberFormat="1" applyFill="1" applyBorder="1" applyAlignment="1">
      <alignment horizontal="center" vertical="center" wrapText="1"/>
    </xf>
    <xf numFmtId="2" fontId="0" fillId="3" borderId="20" xfId="0" applyNumberFormat="1" applyFill="1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9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vertical="center" wrapText="1"/>
    </xf>
    <xf numFmtId="2" fontId="0" fillId="4" borderId="14" xfId="0" applyNumberFormat="1" applyFill="1" applyBorder="1" applyAlignment="1">
      <alignment vertical="center"/>
    </xf>
    <xf numFmtId="2" fontId="2" fillId="4" borderId="14" xfId="0" applyNumberFormat="1" applyFont="1" applyFill="1" applyBorder="1" applyAlignment="1">
      <alignment horizontal="center" vertical="center" wrapText="1"/>
    </xf>
    <xf numFmtId="165" fontId="0" fillId="4" borderId="14" xfId="0" applyNumberFormat="1" applyFill="1" applyBorder="1" applyAlignment="1">
      <alignment horizontal="center" vertical="center"/>
    </xf>
    <xf numFmtId="1" fontId="3" fillId="4" borderId="14" xfId="0" applyNumberFormat="1" applyFont="1" applyFill="1" applyBorder="1" applyAlignment="1">
      <alignment horizontal="center" vertical="center" wrapText="1"/>
    </xf>
    <xf numFmtId="1" fontId="3" fillId="4" borderId="14" xfId="0" applyNumberFormat="1" applyFont="1" applyFill="1" applyBorder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0" fillId="4" borderId="0" xfId="0" applyFill="1" applyBorder="1"/>
    <xf numFmtId="0" fontId="3" fillId="4" borderId="14" xfId="0" applyFont="1" applyFill="1" applyBorder="1" applyAlignment="1">
      <alignment vertical="center" wrapText="1"/>
    </xf>
    <xf numFmtId="1" fontId="3" fillId="4" borderId="14" xfId="0" applyNumberFormat="1" applyFont="1" applyFill="1" applyBorder="1" applyAlignment="1">
      <alignment vertical="center" wrapText="1"/>
    </xf>
    <xf numFmtId="1" fontId="3" fillId="4" borderId="14" xfId="0" applyNumberFormat="1" applyFont="1" applyFill="1" applyBorder="1" applyAlignment="1">
      <alignment vertical="center"/>
    </xf>
    <xf numFmtId="0" fontId="0" fillId="4" borderId="14" xfId="0" applyFill="1" applyBorder="1" applyAlignment="1"/>
    <xf numFmtId="0" fontId="5" fillId="4" borderId="14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0" fillId="4" borderId="14" xfId="0" applyFill="1" applyBorder="1"/>
    <xf numFmtId="0" fontId="0" fillId="4" borderId="14" xfId="0" applyFill="1" applyBorder="1" applyAlignment="1">
      <alignment wrapText="1"/>
    </xf>
  </cellXfs>
  <cellStyles count="1"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121228</xdr:colOff>
      <xdr:row>0</xdr:row>
      <xdr:rowOff>109105</xdr:rowOff>
    </xdr:from>
    <xdr:to>
      <xdr:col>0</xdr:col>
      <xdr:colOff>1446069</xdr:colOff>
      <xdr:row>1</xdr:row>
      <xdr:rowOff>256445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123825" y="104775"/>
          <a:ext cx="1323975" cy="5238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2D4AB-B6DE-4940-850A-18F4E741DF74}" name="RQ" displayName="RQ" ref="A1:E1048576" totalsRowShown="0" headerRowDxfId="0" dataDxfId="1">
  <autoFilter ref="A1:E1048576" xr:uid="{2702D4AB-B6DE-4940-850A-18F4E741DF74}"/>
  <tableColumns count="5">
    <tableColumn id="2" xr3:uid="{93DB095E-0886-4CA3-B2FA-DA8EC2FFC1C5}" name="Equipamentos" dataDxfId="6"/>
    <tableColumn id="3" xr3:uid="{6EC00773-3291-4704-B791-F7A13882A0B7}" name="Valor Ref " dataDxfId="5"/>
    <tableColumn id="4" xr3:uid="{72D8C6A3-B48C-482B-86B5-70C2A7ADCA27}" name="Desvio aceitável" dataDxfId="4"/>
    <tableColumn id="5" xr3:uid="{768E0C25-FCE0-4FF8-A5E5-A8D88EAC70BE}" name="Limite mínimo aceitável" dataDxfId="3"/>
    <tableColumn id="6" xr3:uid="{34EEBAF1-9F72-42C4-BD7E-92A5D4B85775}" name="Limite máximo aceitável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C795-87D4-4719-92B5-E47616B4E2D7}">
  <sheetPr>
    <tabColor theme="7"/>
    <pageSetUpPr fitToPage="1"/>
  </sheetPr>
  <dimension ref="A1:E256"/>
  <sheetViews>
    <sheetView showGridLines="0" tabSelected="1" topLeftCell="A67" zoomScale="80" zoomScaleNormal="80" zoomScaleSheetLayoutView="100" workbookViewId="0">
      <selection activeCell="C82" sqref="C82"/>
    </sheetView>
  </sheetViews>
  <sheetFormatPr defaultRowHeight="15" x14ac:dyDescent="0.25"/>
  <cols>
    <col min="1" max="1" width="22" style="76" customWidth="1"/>
    <col min="2" max="2" width="14" style="76" customWidth="1"/>
    <col min="3" max="3" width="18.7109375" style="76" customWidth="1"/>
    <col min="4" max="4" width="26.5703125" style="76" customWidth="1"/>
    <col min="5" max="5" width="27" style="76" customWidth="1"/>
  </cols>
  <sheetData>
    <row r="1" spans="1:5" s="9" customFormat="1" ht="39.950000000000003" customHeight="1" x14ac:dyDescent="0.25">
      <c r="A1" s="74" t="s">
        <v>22</v>
      </c>
      <c r="B1" s="74" t="s">
        <v>21</v>
      </c>
      <c r="C1" s="75" t="s">
        <v>2</v>
      </c>
      <c r="D1" s="75" t="s">
        <v>0</v>
      </c>
      <c r="E1" s="75" t="s">
        <v>1</v>
      </c>
    </row>
    <row r="2" spans="1:5" ht="30" customHeight="1" x14ac:dyDescent="0.25">
      <c r="A2" s="77" t="s">
        <v>20</v>
      </c>
      <c r="B2" s="78">
        <v>20</v>
      </c>
      <c r="C2" s="24">
        <v>0.3</v>
      </c>
      <c r="D2" s="29">
        <f>B2-C2</f>
        <v>19.7</v>
      </c>
      <c r="E2" s="29">
        <f>B2+C2</f>
        <v>20.3</v>
      </c>
    </row>
    <row r="3" spans="1:5" ht="30" customHeight="1" x14ac:dyDescent="0.25">
      <c r="A3" s="77" t="s">
        <v>20</v>
      </c>
      <c r="B3" s="78">
        <v>40</v>
      </c>
      <c r="C3" s="68">
        <v>0.3</v>
      </c>
      <c r="D3" s="69">
        <f t="shared" ref="D3:D6" si="0">B3-C3</f>
        <v>39.700000000000003</v>
      </c>
      <c r="E3" s="29">
        <f t="shared" ref="E3:E6" si="1">B3+C3</f>
        <v>40.299999999999997</v>
      </c>
    </row>
    <row r="4" spans="1:5" ht="30" customHeight="1" x14ac:dyDescent="0.25">
      <c r="A4" s="77" t="s">
        <v>20</v>
      </c>
      <c r="B4" s="72">
        <v>60</v>
      </c>
      <c r="C4" s="24">
        <v>0.3</v>
      </c>
      <c r="D4" s="29">
        <f t="shared" si="0"/>
        <v>59.7</v>
      </c>
      <c r="E4" s="29">
        <f t="shared" si="1"/>
        <v>60.3</v>
      </c>
    </row>
    <row r="5" spans="1:5" ht="30" customHeight="1" x14ac:dyDescent="0.25">
      <c r="A5" s="77" t="s">
        <v>20</v>
      </c>
      <c r="B5" s="78">
        <v>80</v>
      </c>
      <c r="C5" s="68">
        <v>0.3</v>
      </c>
      <c r="D5" s="69">
        <f t="shared" si="0"/>
        <v>79.7</v>
      </c>
      <c r="E5" s="29">
        <f t="shared" si="1"/>
        <v>80.3</v>
      </c>
    </row>
    <row r="6" spans="1:5" ht="30" customHeight="1" x14ac:dyDescent="0.25">
      <c r="A6" s="77" t="s">
        <v>20</v>
      </c>
      <c r="B6" s="79">
        <v>100</v>
      </c>
      <c r="C6" s="68">
        <v>0.3</v>
      </c>
      <c r="D6" s="69">
        <f t="shared" si="0"/>
        <v>99.7</v>
      </c>
      <c r="E6" s="29">
        <f t="shared" si="1"/>
        <v>100.3</v>
      </c>
    </row>
    <row r="7" spans="1:5" ht="30" customHeight="1" x14ac:dyDescent="0.25">
      <c r="A7" s="77" t="s">
        <v>13</v>
      </c>
      <c r="B7" s="72">
        <v>2</v>
      </c>
      <c r="C7" s="70">
        <v>0.2</v>
      </c>
      <c r="D7" s="71">
        <f>B7-C7</f>
        <v>1.8</v>
      </c>
      <c r="E7" s="71">
        <f>B7+C7</f>
        <v>2.2000000000000002</v>
      </c>
    </row>
    <row r="8" spans="1:5" ht="30" customHeight="1" x14ac:dyDescent="0.25">
      <c r="A8" s="77" t="s">
        <v>13</v>
      </c>
      <c r="B8" s="72">
        <v>5</v>
      </c>
      <c r="C8" s="70">
        <v>0.2</v>
      </c>
      <c r="D8" s="71">
        <f t="shared" ref="D8:D11" si="2">B8-C8</f>
        <v>4.8</v>
      </c>
      <c r="E8" s="71">
        <f t="shared" ref="E8:E11" si="3">B8+C8</f>
        <v>5.2</v>
      </c>
    </row>
    <row r="9" spans="1:5" ht="30" customHeight="1" x14ac:dyDescent="0.25">
      <c r="A9" s="77" t="s">
        <v>13</v>
      </c>
      <c r="B9" s="72">
        <v>10</v>
      </c>
      <c r="C9" s="70">
        <v>0.2</v>
      </c>
      <c r="D9" s="71">
        <f t="shared" si="2"/>
        <v>9.8000000000000007</v>
      </c>
      <c r="E9" s="71">
        <f t="shared" si="3"/>
        <v>10.199999999999999</v>
      </c>
    </row>
    <row r="10" spans="1:5" ht="30" customHeight="1" x14ac:dyDescent="0.25">
      <c r="A10" s="77" t="s">
        <v>13</v>
      </c>
      <c r="B10" s="72">
        <v>20</v>
      </c>
      <c r="C10" s="70">
        <v>0.2</v>
      </c>
      <c r="D10" s="71">
        <f t="shared" si="2"/>
        <v>19.8</v>
      </c>
      <c r="E10" s="71">
        <f t="shared" si="3"/>
        <v>20.2</v>
      </c>
    </row>
    <row r="11" spans="1:5" ht="30" customHeight="1" x14ac:dyDescent="0.25">
      <c r="A11" s="77" t="s">
        <v>13</v>
      </c>
      <c r="B11" s="72">
        <v>25</v>
      </c>
      <c r="C11" s="70">
        <v>0.2</v>
      </c>
      <c r="D11" s="71">
        <f t="shared" si="2"/>
        <v>24.8</v>
      </c>
      <c r="E11" s="71">
        <f t="shared" si="3"/>
        <v>25.2</v>
      </c>
    </row>
    <row r="12" spans="1:5" ht="15" customHeight="1" x14ac:dyDescent="0.25">
      <c r="A12" s="80" t="s">
        <v>23</v>
      </c>
      <c r="B12" s="80">
        <v>10</v>
      </c>
      <c r="C12" s="80">
        <v>5.0000000000000001E-3</v>
      </c>
      <c r="D12" s="80">
        <v>9.9499999999999993</v>
      </c>
      <c r="E12" s="80">
        <v>10.049999999999999</v>
      </c>
    </row>
    <row r="13" spans="1:5" ht="39.950000000000003" customHeight="1" x14ac:dyDescent="0.25">
      <c r="A13" s="80" t="s">
        <v>23</v>
      </c>
      <c r="B13" s="81">
        <v>50</v>
      </c>
      <c r="C13" s="82">
        <v>5.0000000000000001E-3</v>
      </c>
      <c r="D13" s="82">
        <v>49.75</v>
      </c>
      <c r="E13" s="82">
        <v>50.249999999999993</v>
      </c>
    </row>
    <row r="14" spans="1:5" ht="30" customHeight="1" x14ac:dyDescent="0.25">
      <c r="A14" s="80" t="s">
        <v>23</v>
      </c>
      <c r="B14" s="72">
        <v>100</v>
      </c>
      <c r="C14" s="30">
        <v>5.0000000000000001E-3</v>
      </c>
      <c r="D14" s="71">
        <v>99.5</v>
      </c>
      <c r="E14" s="71">
        <v>100.49999999999999</v>
      </c>
    </row>
    <row r="15" spans="1:5" ht="30" customHeight="1" x14ac:dyDescent="0.25">
      <c r="A15" s="77" t="s">
        <v>14</v>
      </c>
      <c r="B15" s="72">
        <v>20</v>
      </c>
      <c r="C15" s="80">
        <v>0.3</v>
      </c>
      <c r="D15" s="71">
        <v>19.7</v>
      </c>
      <c r="E15" s="71">
        <v>20.3</v>
      </c>
    </row>
    <row r="16" spans="1:5" ht="30" customHeight="1" x14ac:dyDescent="0.25">
      <c r="A16" s="77" t="s">
        <v>14</v>
      </c>
      <c r="B16" s="72">
        <v>40</v>
      </c>
      <c r="C16" s="80">
        <v>0.3</v>
      </c>
      <c r="D16" s="71">
        <v>39.700000000000003</v>
      </c>
      <c r="E16" s="71">
        <v>40.299999999999997</v>
      </c>
    </row>
    <row r="17" spans="1:5" ht="15" customHeight="1" x14ac:dyDescent="0.25">
      <c r="A17" s="77" t="s">
        <v>14</v>
      </c>
      <c r="B17" s="80">
        <v>60</v>
      </c>
      <c r="C17" s="80">
        <v>0.3</v>
      </c>
      <c r="D17" s="80">
        <v>59.7</v>
      </c>
      <c r="E17" s="80">
        <v>60.3</v>
      </c>
    </row>
    <row r="18" spans="1:5" ht="39.950000000000003" customHeight="1" x14ac:dyDescent="0.25">
      <c r="A18" s="77" t="s">
        <v>14</v>
      </c>
      <c r="B18" s="81">
        <v>80</v>
      </c>
      <c r="C18" s="82">
        <v>0.3</v>
      </c>
      <c r="D18" s="82">
        <v>79.7</v>
      </c>
      <c r="E18" s="82">
        <v>80.3</v>
      </c>
    </row>
    <row r="19" spans="1:5" ht="30" customHeight="1" x14ac:dyDescent="0.25">
      <c r="A19" s="77" t="s">
        <v>14</v>
      </c>
      <c r="B19" s="72">
        <v>100</v>
      </c>
      <c r="C19" s="24">
        <v>0.3</v>
      </c>
      <c r="D19" s="29">
        <v>99.7</v>
      </c>
      <c r="E19" s="29">
        <v>100.3</v>
      </c>
    </row>
    <row r="20" spans="1:5" ht="30" customHeight="1" x14ac:dyDescent="0.25">
      <c r="A20" s="77" t="s">
        <v>14</v>
      </c>
      <c r="B20" s="72">
        <v>160</v>
      </c>
      <c r="C20" s="24">
        <v>0.3</v>
      </c>
      <c r="D20" s="29">
        <v>159.69999999999999</v>
      </c>
      <c r="E20" s="29">
        <v>160.30000000000001</v>
      </c>
    </row>
    <row r="21" spans="1:5" ht="30" customHeight="1" x14ac:dyDescent="0.25">
      <c r="A21" s="77" t="s">
        <v>24</v>
      </c>
      <c r="B21" s="72">
        <v>70</v>
      </c>
      <c r="C21" s="24">
        <v>0.03</v>
      </c>
      <c r="D21" s="29">
        <v>67.899999999999991</v>
      </c>
      <c r="E21" s="29">
        <v>72.100000000000009</v>
      </c>
    </row>
    <row r="22" spans="1:5" ht="30" customHeight="1" x14ac:dyDescent="0.25">
      <c r="A22" s="77" t="s">
        <v>24</v>
      </c>
      <c r="B22" s="72">
        <v>83</v>
      </c>
      <c r="C22" s="24">
        <v>0.03</v>
      </c>
      <c r="D22" s="29">
        <v>80.509999999999991</v>
      </c>
      <c r="E22" s="29">
        <v>85.49</v>
      </c>
    </row>
    <row r="23" spans="1:5" ht="30" customHeight="1" x14ac:dyDescent="0.25">
      <c r="A23" s="77" t="s">
        <v>24</v>
      </c>
      <c r="B23" s="73">
        <v>97</v>
      </c>
      <c r="C23" s="24">
        <v>0.03</v>
      </c>
      <c r="D23" s="29">
        <v>94.09</v>
      </c>
      <c r="E23" s="29">
        <v>99.91</v>
      </c>
    </row>
    <row r="24" spans="1:5" ht="30" customHeight="1" x14ac:dyDescent="0.25">
      <c r="A24" s="77" t="s">
        <v>24</v>
      </c>
      <c r="B24" s="73">
        <v>30</v>
      </c>
      <c r="C24" s="24">
        <v>5</v>
      </c>
      <c r="D24" s="29">
        <v>25</v>
      </c>
      <c r="E24" s="29">
        <v>35</v>
      </c>
    </row>
    <row r="25" spans="1:5" ht="45" x14ac:dyDescent="0.25">
      <c r="A25" s="77" t="s">
        <v>24</v>
      </c>
      <c r="B25" s="83">
        <v>100</v>
      </c>
      <c r="C25" s="83">
        <v>5</v>
      </c>
      <c r="D25" s="83">
        <v>95</v>
      </c>
      <c r="E25" s="83">
        <v>105</v>
      </c>
    </row>
    <row r="26" spans="1:5" ht="45" x14ac:dyDescent="0.25">
      <c r="A26" s="77" t="s">
        <v>24</v>
      </c>
      <c r="B26" s="83">
        <v>240</v>
      </c>
      <c r="C26" s="83">
        <v>5</v>
      </c>
      <c r="D26" s="83">
        <v>235</v>
      </c>
      <c r="E26" s="83">
        <v>245</v>
      </c>
    </row>
    <row r="27" spans="1:5" ht="45" x14ac:dyDescent="0.25">
      <c r="A27" s="77" t="s">
        <v>24</v>
      </c>
      <c r="B27" s="83">
        <v>60</v>
      </c>
      <c r="C27" s="83">
        <v>5</v>
      </c>
      <c r="D27" s="83">
        <v>55</v>
      </c>
      <c r="E27" s="83">
        <v>65</v>
      </c>
    </row>
    <row r="28" spans="1:5" ht="45" x14ac:dyDescent="0.25">
      <c r="A28" s="77" t="s">
        <v>24</v>
      </c>
      <c r="B28" s="83">
        <v>120</v>
      </c>
      <c r="C28" s="83">
        <v>5</v>
      </c>
      <c r="D28" s="83">
        <v>115</v>
      </c>
      <c r="E28" s="83">
        <v>125</v>
      </c>
    </row>
    <row r="29" spans="1:5" ht="45" x14ac:dyDescent="0.25">
      <c r="A29" s="77" t="s">
        <v>24</v>
      </c>
      <c r="B29" s="83">
        <v>200</v>
      </c>
      <c r="C29" s="83">
        <v>5</v>
      </c>
      <c r="D29" s="83">
        <v>195</v>
      </c>
      <c r="E29" s="83">
        <v>205</v>
      </c>
    </row>
    <row r="30" spans="1:5" ht="45" x14ac:dyDescent="0.25">
      <c r="A30" s="77" t="s">
        <v>24</v>
      </c>
      <c r="B30" s="83">
        <v>30</v>
      </c>
      <c r="C30" s="83">
        <v>5</v>
      </c>
      <c r="D30" s="83">
        <v>25</v>
      </c>
      <c r="E30" s="83">
        <v>35</v>
      </c>
    </row>
    <row r="31" spans="1:5" ht="45" x14ac:dyDescent="0.25">
      <c r="A31" s="77" t="s">
        <v>24</v>
      </c>
      <c r="B31" s="83">
        <v>80</v>
      </c>
      <c r="C31" s="83">
        <v>5</v>
      </c>
      <c r="D31" s="83">
        <v>75</v>
      </c>
      <c r="E31" s="83">
        <v>85</v>
      </c>
    </row>
    <row r="32" spans="1:5" ht="45" x14ac:dyDescent="0.25">
      <c r="A32" s="77" t="s">
        <v>24</v>
      </c>
      <c r="B32" s="83">
        <v>150</v>
      </c>
      <c r="C32" s="83">
        <v>5</v>
      </c>
      <c r="D32" s="83">
        <v>145</v>
      </c>
      <c r="E32" s="83">
        <v>155</v>
      </c>
    </row>
    <row r="33" spans="1:5" ht="45" x14ac:dyDescent="0.25">
      <c r="A33" s="77" t="s">
        <v>24</v>
      </c>
      <c r="B33" s="83">
        <v>15</v>
      </c>
      <c r="C33" s="83">
        <v>3</v>
      </c>
      <c r="D33" s="83">
        <v>12</v>
      </c>
      <c r="E33" s="83">
        <v>18</v>
      </c>
    </row>
    <row r="34" spans="1:5" ht="45" x14ac:dyDescent="0.25">
      <c r="A34" s="77" t="s">
        <v>24</v>
      </c>
      <c r="B34" s="83">
        <v>20</v>
      </c>
      <c r="C34" s="83">
        <v>3</v>
      </c>
      <c r="D34" s="83">
        <v>17</v>
      </c>
      <c r="E34" s="83">
        <v>23</v>
      </c>
    </row>
    <row r="35" spans="1:5" ht="45" x14ac:dyDescent="0.25">
      <c r="A35" s="77" t="s">
        <v>24</v>
      </c>
      <c r="B35" s="83">
        <v>30</v>
      </c>
      <c r="C35" s="83">
        <v>3</v>
      </c>
      <c r="D35" s="83">
        <v>27</v>
      </c>
      <c r="E35" s="83">
        <v>33</v>
      </c>
    </row>
    <row r="36" spans="1:5" ht="45" x14ac:dyDescent="0.25">
      <c r="A36" s="77" t="s">
        <v>24</v>
      </c>
      <c r="B36" s="83">
        <v>30</v>
      </c>
      <c r="C36" s="83">
        <v>0.15</v>
      </c>
      <c r="D36" s="83">
        <v>25.5</v>
      </c>
      <c r="E36" s="83">
        <v>34.5</v>
      </c>
    </row>
    <row r="37" spans="1:5" ht="45" x14ac:dyDescent="0.25">
      <c r="A37" s="77" t="s">
        <v>24</v>
      </c>
      <c r="B37" s="83">
        <v>50</v>
      </c>
      <c r="C37" s="83">
        <v>0.15</v>
      </c>
      <c r="D37" s="83">
        <v>42.5</v>
      </c>
      <c r="E37" s="83">
        <v>57.499999999999993</v>
      </c>
    </row>
    <row r="38" spans="1:5" ht="45" x14ac:dyDescent="0.25">
      <c r="A38" s="77" t="s">
        <v>24</v>
      </c>
      <c r="B38" s="83">
        <v>100</v>
      </c>
      <c r="C38" s="83">
        <v>0.15</v>
      </c>
      <c r="D38" s="83">
        <v>85</v>
      </c>
      <c r="E38" s="83">
        <v>114.99999999999999</v>
      </c>
    </row>
    <row r="39" spans="1:5" ht="45" x14ac:dyDescent="0.25">
      <c r="A39" s="77" t="s">
        <v>24</v>
      </c>
      <c r="B39" s="83">
        <v>150</v>
      </c>
      <c r="C39" s="83">
        <v>0.15</v>
      </c>
      <c r="D39" s="83">
        <v>127.5</v>
      </c>
      <c r="E39" s="83">
        <v>172.5</v>
      </c>
    </row>
    <row r="40" spans="1:5" ht="45" x14ac:dyDescent="0.25">
      <c r="A40" s="77" t="s">
        <v>24</v>
      </c>
      <c r="B40" s="83">
        <v>200</v>
      </c>
      <c r="C40" s="83">
        <v>0.15</v>
      </c>
      <c r="D40" s="83">
        <v>170</v>
      </c>
      <c r="E40" s="83">
        <v>229.99999999999997</v>
      </c>
    </row>
    <row r="41" spans="1:5" ht="45" x14ac:dyDescent="0.25">
      <c r="A41" s="77" t="s">
        <v>24</v>
      </c>
      <c r="B41" s="83">
        <v>50</v>
      </c>
      <c r="C41" s="83">
        <v>0.15</v>
      </c>
      <c r="D41" s="83">
        <v>42.5</v>
      </c>
      <c r="E41" s="83">
        <v>57.499999999999993</v>
      </c>
    </row>
    <row r="42" spans="1:5" ht="45" x14ac:dyDescent="0.25">
      <c r="A42" s="77" t="s">
        <v>24</v>
      </c>
      <c r="B42" s="83">
        <v>70</v>
      </c>
      <c r="C42" s="83">
        <v>0.15</v>
      </c>
      <c r="D42" s="83">
        <v>59.5</v>
      </c>
      <c r="E42" s="83">
        <v>80.5</v>
      </c>
    </row>
    <row r="43" spans="1:5" ht="45" x14ac:dyDescent="0.25">
      <c r="A43" s="77" t="s">
        <v>24</v>
      </c>
      <c r="B43" s="83">
        <v>85</v>
      </c>
      <c r="C43" s="83">
        <v>0.15</v>
      </c>
      <c r="D43" s="83">
        <v>72.25</v>
      </c>
      <c r="E43" s="83">
        <v>97.749999999999986</v>
      </c>
    </row>
    <row r="44" spans="1:5" ht="45" x14ac:dyDescent="0.25">
      <c r="A44" s="77" t="s">
        <v>24</v>
      </c>
      <c r="B44" s="83">
        <v>120</v>
      </c>
      <c r="C44" s="83">
        <v>0.15</v>
      </c>
      <c r="D44" s="83">
        <v>102</v>
      </c>
      <c r="E44" s="83">
        <v>138</v>
      </c>
    </row>
    <row r="45" spans="1:5" ht="45" x14ac:dyDescent="0.25">
      <c r="A45" s="77" t="s">
        <v>24</v>
      </c>
      <c r="B45" s="83">
        <v>150</v>
      </c>
      <c r="C45" s="83">
        <v>0.15</v>
      </c>
      <c r="D45" s="83">
        <v>127.5</v>
      </c>
      <c r="E45" s="83">
        <v>172.5</v>
      </c>
    </row>
    <row r="46" spans="1:5" ht="45" x14ac:dyDescent="0.25">
      <c r="A46" s="77" t="s">
        <v>24</v>
      </c>
      <c r="B46" s="83">
        <v>200</v>
      </c>
      <c r="C46" s="83">
        <v>0.15</v>
      </c>
      <c r="D46" s="83">
        <v>170</v>
      </c>
      <c r="E46" s="83">
        <v>229.99999999999997</v>
      </c>
    </row>
    <row r="47" spans="1:5" ht="45" x14ac:dyDescent="0.25">
      <c r="A47" s="77" t="s">
        <v>24</v>
      </c>
      <c r="B47" s="83">
        <v>50</v>
      </c>
      <c r="C47" s="83">
        <v>0.15</v>
      </c>
      <c r="D47" s="83">
        <v>42.5</v>
      </c>
      <c r="E47" s="83">
        <v>57.499999999999993</v>
      </c>
    </row>
    <row r="48" spans="1:5" ht="45" x14ac:dyDescent="0.25">
      <c r="A48" s="77" t="s">
        <v>24</v>
      </c>
      <c r="B48" s="83">
        <v>70</v>
      </c>
      <c r="C48" s="83">
        <v>0.15</v>
      </c>
      <c r="D48" s="83">
        <v>59.5</v>
      </c>
      <c r="E48" s="83">
        <v>80.5</v>
      </c>
    </row>
    <row r="49" spans="1:5" ht="45" x14ac:dyDescent="0.25">
      <c r="A49" s="77" t="s">
        <v>24</v>
      </c>
      <c r="B49" s="83">
        <v>100</v>
      </c>
      <c r="C49" s="83">
        <v>0.15</v>
      </c>
      <c r="D49" s="83">
        <v>85</v>
      </c>
      <c r="E49" s="83">
        <v>114.99999999999999</v>
      </c>
    </row>
    <row r="50" spans="1:5" ht="45" x14ac:dyDescent="0.25">
      <c r="A50" s="77" t="s">
        <v>24</v>
      </c>
      <c r="B50" s="83">
        <v>200</v>
      </c>
      <c r="C50" s="83">
        <v>0.15</v>
      </c>
      <c r="D50" s="83">
        <v>170</v>
      </c>
      <c r="E50" s="83">
        <v>229.99999999999997</v>
      </c>
    </row>
    <row r="51" spans="1:5" ht="45" x14ac:dyDescent="0.25">
      <c r="A51" s="77" t="s">
        <v>24</v>
      </c>
      <c r="B51" s="83">
        <v>50</v>
      </c>
      <c r="C51" s="83">
        <v>0.15</v>
      </c>
      <c r="D51" s="83">
        <v>42.5</v>
      </c>
      <c r="E51" s="83">
        <v>57.499999999999993</v>
      </c>
    </row>
    <row r="52" spans="1:5" ht="45" x14ac:dyDescent="0.25">
      <c r="A52" s="77" t="s">
        <v>24</v>
      </c>
      <c r="B52" s="83">
        <v>150</v>
      </c>
      <c r="C52" s="83">
        <v>0.15</v>
      </c>
      <c r="D52" s="83">
        <v>127.5</v>
      </c>
      <c r="E52" s="83">
        <v>172.5</v>
      </c>
    </row>
    <row r="53" spans="1:5" ht="45" x14ac:dyDescent="0.25">
      <c r="A53" s="77" t="s">
        <v>24</v>
      </c>
      <c r="B53" s="83">
        <v>50</v>
      </c>
      <c r="C53" s="83">
        <v>0.15</v>
      </c>
      <c r="D53" s="83">
        <v>42.5</v>
      </c>
      <c r="E53" s="83">
        <v>57.499999999999993</v>
      </c>
    </row>
    <row r="54" spans="1:5" ht="45" x14ac:dyDescent="0.25">
      <c r="A54" s="77" t="s">
        <v>24</v>
      </c>
      <c r="B54" s="83">
        <v>150</v>
      </c>
      <c r="C54" s="83">
        <v>0.15</v>
      </c>
      <c r="D54" s="83">
        <v>127.5</v>
      </c>
      <c r="E54" s="83">
        <v>172.5</v>
      </c>
    </row>
    <row r="55" spans="1:5" ht="45" x14ac:dyDescent="0.25">
      <c r="A55" s="77" t="s">
        <v>24</v>
      </c>
      <c r="B55" s="83">
        <v>200</v>
      </c>
      <c r="C55" s="83">
        <v>0.15</v>
      </c>
      <c r="D55" s="83">
        <v>170</v>
      </c>
      <c r="E55" s="83">
        <v>229.99999999999997</v>
      </c>
    </row>
    <row r="56" spans="1:5" ht="60" x14ac:dyDescent="0.25">
      <c r="A56" s="84" t="s">
        <v>4</v>
      </c>
      <c r="B56" s="83" t="s">
        <v>3</v>
      </c>
      <c r="C56" s="83">
        <v>5</v>
      </c>
      <c r="D56" s="83">
        <v>30</v>
      </c>
      <c r="E56" s="83">
        <v>40</v>
      </c>
    </row>
    <row r="57" spans="1:5" x14ac:dyDescent="0.25">
      <c r="A57" s="83" t="s">
        <v>25</v>
      </c>
      <c r="B57" s="83">
        <v>70</v>
      </c>
      <c r="C57" s="83">
        <v>0.03</v>
      </c>
      <c r="D57" s="83">
        <v>67.899999999999991</v>
      </c>
      <c r="E57" s="83">
        <v>72.100000000000009</v>
      </c>
    </row>
    <row r="58" spans="1:5" x14ac:dyDescent="0.25">
      <c r="A58" s="83" t="s">
        <v>25</v>
      </c>
      <c r="B58" s="83">
        <v>83</v>
      </c>
      <c r="C58" s="83">
        <v>0.03</v>
      </c>
      <c r="D58" s="83">
        <v>80.509999999999991</v>
      </c>
      <c r="E58" s="83">
        <v>85.49</v>
      </c>
    </row>
    <row r="59" spans="1:5" x14ac:dyDescent="0.25">
      <c r="A59" s="83" t="s">
        <v>25</v>
      </c>
      <c r="B59" s="83">
        <v>97</v>
      </c>
      <c r="C59" s="83">
        <v>0.03</v>
      </c>
      <c r="D59" s="83">
        <v>94.09</v>
      </c>
      <c r="E59" s="83">
        <v>99.91</v>
      </c>
    </row>
    <row r="60" spans="1:5" x14ac:dyDescent="0.25">
      <c r="A60" s="83" t="s">
        <v>25</v>
      </c>
      <c r="B60" s="83">
        <v>30</v>
      </c>
      <c r="C60" s="83">
        <v>5</v>
      </c>
      <c r="D60" s="83">
        <v>25</v>
      </c>
      <c r="E60" s="83">
        <v>35</v>
      </c>
    </row>
    <row r="61" spans="1:5" x14ac:dyDescent="0.25">
      <c r="A61" s="83" t="s">
        <v>25</v>
      </c>
      <c r="B61" s="83">
        <v>100</v>
      </c>
      <c r="C61" s="83">
        <v>5</v>
      </c>
      <c r="D61" s="83">
        <v>95</v>
      </c>
      <c r="E61" s="83">
        <v>105</v>
      </c>
    </row>
    <row r="62" spans="1:5" x14ac:dyDescent="0.25">
      <c r="A62" s="83" t="s">
        <v>25</v>
      </c>
      <c r="B62" s="83">
        <v>240</v>
      </c>
      <c r="C62" s="83">
        <v>5</v>
      </c>
      <c r="D62" s="83">
        <v>235</v>
      </c>
      <c r="E62" s="83">
        <v>245</v>
      </c>
    </row>
    <row r="63" spans="1:5" x14ac:dyDescent="0.25">
      <c r="A63" s="83" t="s">
        <v>25</v>
      </c>
      <c r="B63" s="83">
        <v>60</v>
      </c>
      <c r="C63" s="83">
        <v>5</v>
      </c>
      <c r="D63" s="83">
        <v>55</v>
      </c>
      <c r="E63" s="83">
        <v>65</v>
      </c>
    </row>
    <row r="64" spans="1:5" x14ac:dyDescent="0.25">
      <c r="A64" s="83" t="s">
        <v>25</v>
      </c>
      <c r="B64" s="83">
        <v>120</v>
      </c>
      <c r="C64" s="83">
        <v>5</v>
      </c>
      <c r="D64" s="83">
        <v>115</v>
      </c>
      <c r="E64" s="83">
        <v>125</v>
      </c>
    </row>
    <row r="65" spans="1:5" x14ac:dyDescent="0.25">
      <c r="A65" s="83" t="s">
        <v>25</v>
      </c>
      <c r="B65" s="83">
        <v>200</v>
      </c>
      <c r="C65" s="83">
        <v>5</v>
      </c>
      <c r="D65" s="83">
        <v>195</v>
      </c>
      <c r="E65" s="83">
        <v>205</v>
      </c>
    </row>
    <row r="66" spans="1:5" x14ac:dyDescent="0.25">
      <c r="A66" s="83" t="s">
        <v>25</v>
      </c>
      <c r="B66" s="83">
        <v>30</v>
      </c>
      <c r="C66" s="83">
        <v>5</v>
      </c>
      <c r="D66" s="83">
        <v>25</v>
      </c>
      <c r="E66" s="83">
        <v>35</v>
      </c>
    </row>
    <row r="67" spans="1:5" x14ac:dyDescent="0.25">
      <c r="A67" s="83" t="s">
        <v>25</v>
      </c>
      <c r="B67" s="83">
        <v>80</v>
      </c>
      <c r="C67" s="83">
        <v>5</v>
      </c>
      <c r="D67" s="83">
        <v>75</v>
      </c>
      <c r="E67" s="83">
        <v>85</v>
      </c>
    </row>
    <row r="68" spans="1:5" x14ac:dyDescent="0.25">
      <c r="A68" s="83" t="s">
        <v>25</v>
      </c>
      <c r="B68" s="83">
        <v>150</v>
      </c>
      <c r="C68" s="83">
        <v>5</v>
      </c>
      <c r="D68" s="83">
        <v>145</v>
      </c>
      <c r="E68" s="83">
        <v>155</v>
      </c>
    </row>
    <row r="69" spans="1:5" x14ac:dyDescent="0.25">
      <c r="A69" s="83" t="s">
        <v>25</v>
      </c>
      <c r="B69" s="83">
        <v>15</v>
      </c>
      <c r="C69" s="83">
        <v>3</v>
      </c>
      <c r="D69" s="83">
        <v>12</v>
      </c>
      <c r="E69" s="83">
        <v>18</v>
      </c>
    </row>
    <row r="70" spans="1:5" x14ac:dyDescent="0.25">
      <c r="A70" s="83" t="s">
        <v>25</v>
      </c>
      <c r="B70" s="83">
        <v>20</v>
      </c>
      <c r="C70" s="83">
        <v>3</v>
      </c>
      <c r="D70" s="83">
        <v>17</v>
      </c>
      <c r="E70" s="83">
        <v>23</v>
      </c>
    </row>
    <row r="71" spans="1:5" x14ac:dyDescent="0.25">
      <c r="A71" s="83" t="s">
        <v>25</v>
      </c>
      <c r="B71" s="83">
        <v>30</v>
      </c>
      <c r="C71" s="83">
        <v>3</v>
      </c>
      <c r="D71" s="83">
        <v>27</v>
      </c>
      <c r="E71" s="83">
        <v>33</v>
      </c>
    </row>
    <row r="72" spans="1:5" x14ac:dyDescent="0.25">
      <c r="A72" s="83" t="s">
        <v>17</v>
      </c>
      <c r="B72" s="83">
        <v>70</v>
      </c>
      <c r="C72" s="83">
        <v>0.03</v>
      </c>
      <c r="D72" s="83">
        <v>67.899999999999991</v>
      </c>
      <c r="E72" s="83">
        <v>72.100000000000009</v>
      </c>
    </row>
    <row r="73" spans="1:5" x14ac:dyDescent="0.25">
      <c r="A73" s="83" t="s">
        <v>17</v>
      </c>
      <c r="B73" s="83">
        <v>83</v>
      </c>
      <c r="C73" s="83">
        <v>0.03</v>
      </c>
      <c r="D73" s="83">
        <v>80.509999999999991</v>
      </c>
      <c r="E73" s="83">
        <v>85.49</v>
      </c>
    </row>
    <row r="74" spans="1:5" x14ac:dyDescent="0.25">
      <c r="A74" s="83" t="s">
        <v>17</v>
      </c>
      <c r="B74" s="83">
        <v>97</v>
      </c>
      <c r="C74" s="83">
        <v>0.03</v>
      </c>
      <c r="D74" s="83">
        <v>94.09</v>
      </c>
      <c r="E74" s="83">
        <v>99.91</v>
      </c>
    </row>
    <row r="75" spans="1:5" x14ac:dyDescent="0.25">
      <c r="A75" s="83" t="s">
        <v>17</v>
      </c>
      <c r="B75" s="83">
        <v>30</v>
      </c>
      <c r="C75" s="83">
        <v>5</v>
      </c>
      <c r="D75" s="83">
        <v>25</v>
      </c>
      <c r="E75" s="83">
        <v>35</v>
      </c>
    </row>
    <row r="76" spans="1:5" x14ac:dyDescent="0.25">
      <c r="A76" s="83" t="s">
        <v>17</v>
      </c>
      <c r="B76" s="83">
        <v>100</v>
      </c>
      <c r="C76" s="83">
        <v>5</v>
      </c>
      <c r="D76" s="83">
        <v>95</v>
      </c>
      <c r="E76" s="83">
        <v>105</v>
      </c>
    </row>
    <row r="77" spans="1:5" x14ac:dyDescent="0.25">
      <c r="A77" s="83" t="s">
        <v>17</v>
      </c>
      <c r="B77" s="83">
        <v>240</v>
      </c>
      <c r="C77" s="83">
        <v>5</v>
      </c>
      <c r="D77" s="83">
        <v>235</v>
      </c>
      <c r="E77" s="83">
        <v>245</v>
      </c>
    </row>
    <row r="78" spans="1:5" x14ac:dyDescent="0.25">
      <c r="A78" s="83" t="s">
        <v>17</v>
      </c>
      <c r="B78" s="83">
        <v>60</v>
      </c>
      <c r="C78" s="83">
        <v>5</v>
      </c>
      <c r="D78" s="83">
        <v>55</v>
      </c>
      <c r="E78" s="83">
        <v>65</v>
      </c>
    </row>
    <row r="79" spans="1:5" x14ac:dyDescent="0.25">
      <c r="A79" s="83" t="s">
        <v>17</v>
      </c>
      <c r="B79" s="83">
        <v>120</v>
      </c>
      <c r="C79" s="83">
        <v>5</v>
      </c>
      <c r="D79" s="83">
        <v>115</v>
      </c>
      <c r="E79" s="83">
        <v>125</v>
      </c>
    </row>
    <row r="80" spans="1:5" x14ac:dyDescent="0.25">
      <c r="A80" s="83" t="s">
        <v>17</v>
      </c>
      <c r="B80" s="83">
        <v>200</v>
      </c>
      <c r="C80" s="83">
        <v>5</v>
      </c>
      <c r="D80" s="83">
        <v>195</v>
      </c>
      <c r="E80" s="83">
        <v>205</v>
      </c>
    </row>
    <row r="81" spans="1:5" x14ac:dyDescent="0.25">
      <c r="A81" s="83" t="s">
        <v>17</v>
      </c>
      <c r="B81" s="83">
        <v>30</v>
      </c>
      <c r="C81" s="83">
        <v>5</v>
      </c>
      <c r="D81" s="83">
        <v>25</v>
      </c>
      <c r="E81" s="83">
        <v>35</v>
      </c>
    </row>
    <row r="82" spans="1:5" x14ac:dyDescent="0.25">
      <c r="A82" s="83" t="s">
        <v>17</v>
      </c>
      <c r="B82" s="83">
        <v>80</v>
      </c>
      <c r="C82" s="83">
        <v>5</v>
      </c>
      <c r="D82" s="83">
        <v>75</v>
      </c>
      <c r="E82" s="83">
        <v>85</v>
      </c>
    </row>
    <row r="83" spans="1:5" x14ac:dyDescent="0.25">
      <c r="A83" s="83" t="s">
        <v>17</v>
      </c>
      <c r="B83" s="83">
        <v>150</v>
      </c>
      <c r="C83" s="83">
        <v>5</v>
      </c>
      <c r="D83" s="83">
        <v>145</v>
      </c>
      <c r="E83" s="83">
        <v>155</v>
      </c>
    </row>
    <row r="84" spans="1:5" x14ac:dyDescent="0.25">
      <c r="A84" s="83" t="s">
        <v>17</v>
      </c>
      <c r="B84" s="83">
        <v>36</v>
      </c>
      <c r="C84" s="83">
        <v>0.8</v>
      </c>
      <c r="D84" s="83">
        <v>35.200000000000003</v>
      </c>
      <c r="E84" s="83">
        <v>36.799999999999997</v>
      </c>
    </row>
    <row r="85" spans="1:5" x14ac:dyDescent="0.25">
      <c r="A85" s="83" t="s">
        <v>17</v>
      </c>
      <c r="B85" s="83">
        <v>38</v>
      </c>
      <c r="C85" s="83">
        <v>0.8</v>
      </c>
      <c r="D85" s="83">
        <v>37.200000000000003</v>
      </c>
      <c r="E85" s="83">
        <v>38.799999999999997</v>
      </c>
    </row>
    <row r="86" spans="1:5" x14ac:dyDescent="0.25">
      <c r="A86" s="83" t="s">
        <v>17</v>
      </c>
      <c r="B86" s="83">
        <v>40</v>
      </c>
      <c r="C86" s="83">
        <v>0.8</v>
      </c>
      <c r="D86" s="83">
        <v>39.200000000000003</v>
      </c>
      <c r="E86" s="83">
        <v>40.799999999999997</v>
      </c>
    </row>
    <row r="87" spans="1:5" x14ac:dyDescent="0.25">
      <c r="A87" s="83"/>
      <c r="B87" s="83"/>
      <c r="C87" s="83"/>
      <c r="D87" s="83"/>
      <c r="E87" s="83"/>
    </row>
    <row r="88" spans="1:5" x14ac:dyDescent="0.25">
      <c r="A88" s="83"/>
      <c r="B88" s="83"/>
      <c r="C88" s="83"/>
      <c r="D88" s="83"/>
      <c r="E88" s="83"/>
    </row>
    <row r="89" spans="1:5" x14ac:dyDescent="0.25">
      <c r="A89" s="83"/>
      <c r="B89" s="83"/>
      <c r="C89" s="83"/>
      <c r="D89" s="83"/>
      <c r="E89" s="83"/>
    </row>
    <row r="90" spans="1:5" x14ac:dyDescent="0.25">
      <c r="A90" s="83"/>
      <c r="B90" s="83"/>
      <c r="C90" s="83"/>
      <c r="D90" s="83"/>
      <c r="E90" s="83"/>
    </row>
    <row r="91" spans="1:5" x14ac:dyDescent="0.25">
      <c r="A91" s="83"/>
      <c r="B91" s="83"/>
      <c r="C91" s="83"/>
      <c r="D91" s="83"/>
      <c r="E91" s="83"/>
    </row>
    <row r="92" spans="1:5" x14ac:dyDescent="0.25">
      <c r="A92" s="83"/>
      <c r="B92" s="83"/>
      <c r="C92" s="83"/>
      <c r="D92" s="83"/>
      <c r="E92" s="83"/>
    </row>
    <row r="93" spans="1:5" x14ac:dyDescent="0.25">
      <c r="A93" s="83"/>
      <c r="B93" s="83"/>
      <c r="C93" s="83"/>
      <c r="D93" s="83"/>
      <c r="E93" s="83"/>
    </row>
    <row r="94" spans="1:5" x14ac:dyDescent="0.25">
      <c r="A94" s="83"/>
      <c r="B94" s="83"/>
      <c r="C94" s="83"/>
      <c r="D94" s="83"/>
      <c r="E94" s="83"/>
    </row>
    <row r="95" spans="1:5" x14ac:dyDescent="0.25">
      <c r="A95" s="83"/>
      <c r="B95" s="83"/>
      <c r="C95" s="83"/>
      <c r="D95" s="83"/>
      <c r="E95" s="83"/>
    </row>
    <row r="96" spans="1:5" x14ac:dyDescent="0.25">
      <c r="A96" s="83"/>
      <c r="B96" s="83"/>
      <c r="C96" s="83"/>
      <c r="D96" s="83"/>
      <c r="E96" s="83"/>
    </row>
    <row r="97" spans="1:5" x14ac:dyDescent="0.25">
      <c r="A97" s="83"/>
      <c r="B97" s="83"/>
      <c r="C97" s="83"/>
      <c r="D97" s="83"/>
      <c r="E97" s="83"/>
    </row>
    <row r="98" spans="1:5" x14ac:dyDescent="0.25">
      <c r="A98" s="83"/>
      <c r="B98" s="83"/>
      <c r="C98" s="83"/>
      <c r="D98" s="83"/>
      <c r="E98" s="83"/>
    </row>
    <row r="99" spans="1:5" x14ac:dyDescent="0.25">
      <c r="A99" s="83"/>
      <c r="B99" s="83"/>
      <c r="C99" s="83"/>
      <c r="D99" s="83"/>
      <c r="E99" s="83"/>
    </row>
    <row r="100" spans="1:5" x14ac:dyDescent="0.25">
      <c r="A100" s="83"/>
      <c r="B100" s="83"/>
      <c r="C100" s="83"/>
      <c r="D100" s="83"/>
      <c r="E100" s="83"/>
    </row>
    <row r="101" spans="1:5" x14ac:dyDescent="0.25">
      <c r="A101" s="83"/>
      <c r="B101" s="83"/>
      <c r="C101" s="83"/>
      <c r="D101" s="83"/>
      <c r="E101" s="83"/>
    </row>
    <row r="102" spans="1:5" x14ac:dyDescent="0.25">
      <c r="A102" s="83"/>
      <c r="B102" s="83"/>
      <c r="C102" s="83"/>
      <c r="D102" s="83"/>
      <c r="E102" s="83"/>
    </row>
    <row r="103" spans="1:5" x14ac:dyDescent="0.25">
      <c r="A103" s="83"/>
      <c r="B103" s="83"/>
      <c r="C103" s="83"/>
      <c r="D103" s="83"/>
      <c r="E103" s="83"/>
    </row>
    <row r="104" spans="1:5" x14ac:dyDescent="0.25">
      <c r="A104" s="83"/>
      <c r="B104" s="83"/>
      <c r="C104" s="83"/>
      <c r="D104" s="83"/>
      <c r="E104" s="83"/>
    </row>
    <row r="105" spans="1:5" x14ac:dyDescent="0.25">
      <c r="A105" s="83"/>
      <c r="B105" s="83"/>
      <c r="C105" s="83"/>
      <c r="D105" s="83"/>
      <c r="E105" s="83"/>
    </row>
    <row r="106" spans="1:5" x14ac:dyDescent="0.25">
      <c r="A106" s="83"/>
      <c r="B106" s="83"/>
      <c r="C106" s="83"/>
      <c r="D106" s="83"/>
      <c r="E106" s="83"/>
    </row>
    <row r="107" spans="1:5" x14ac:dyDescent="0.25">
      <c r="A107" s="83"/>
      <c r="B107" s="83"/>
      <c r="C107" s="83"/>
      <c r="D107" s="83"/>
      <c r="E107" s="83"/>
    </row>
    <row r="108" spans="1:5" x14ac:dyDescent="0.25">
      <c r="A108" s="83"/>
      <c r="B108" s="83"/>
      <c r="C108" s="83"/>
      <c r="D108" s="83"/>
      <c r="E108" s="83"/>
    </row>
    <row r="109" spans="1:5" x14ac:dyDescent="0.25">
      <c r="A109" s="83"/>
      <c r="B109" s="83"/>
      <c r="C109" s="83"/>
      <c r="D109" s="83"/>
      <c r="E109" s="83"/>
    </row>
    <row r="110" spans="1:5" x14ac:dyDescent="0.25">
      <c r="A110" s="83"/>
      <c r="B110" s="83"/>
      <c r="C110" s="83"/>
      <c r="D110" s="83"/>
      <c r="E110" s="83"/>
    </row>
    <row r="111" spans="1:5" x14ac:dyDescent="0.25">
      <c r="A111" s="83"/>
      <c r="B111" s="83"/>
      <c r="C111" s="83"/>
      <c r="D111" s="83"/>
      <c r="E111" s="83"/>
    </row>
    <row r="112" spans="1:5" x14ac:dyDescent="0.25">
      <c r="A112" s="83"/>
      <c r="B112" s="83"/>
      <c r="C112" s="83"/>
      <c r="D112" s="83"/>
      <c r="E112" s="83"/>
    </row>
    <row r="113" spans="1:5" x14ac:dyDescent="0.25">
      <c r="A113" s="83"/>
      <c r="B113" s="83"/>
      <c r="C113" s="83"/>
      <c r="D113" s="83"/>
      <c r="E113" s="83"/>
    </row>
    <row r="114" spans="1:5" x14ac:dyDescent="0.25">
      <c r="A114" s="83"/>
      <c r="B114" s="83"/>
      <c r="C114" s="83"/>
      <c r="D114" s="83"/>
      <c r="E114" s="83"/>
    </row>
    <row r="115" spans="1:5" x14ac:dyDescent="0.25">
      <c r="A115" s="83"/>
      <c r="B115" s="83"/>
      <c r="C115" s="83"/>
      <c r="D115" s="83"/>
      <c r="E115" s="83"/>
    </row>
    <row r="116" spans="1:5" x14ac:dyDescent="0.25">
      <c r="A116" s="83"/>
      <c r="B116" s="83"/>
      <c r="C116" s="83"/>
      <c r="D116" s="83"/>
      <c r="E116" s="83"/>
    </row>
    <row r="117" spans="1:5" x14ac:dyDescent="0.25">
      <c r="A117" s="83"/>
      <c r="B117" s="83"/>
      <c r="C117" s="83"/>
      <c r="D117" s="83"/>
      <c r="E117" s="83"/>
    </row>
    <row r="118" spans="1:5" x14ac:dyDescent="0.25">
      <c r="A118" s="83"/>
      <c r="B118" s="83"/>
      <c r="C118" s="83"/>
      <c r="D118" s="83"/>
      <c r="E118" s="83"/>
    </row>
    <row r="119" spans="1:5" x14ac:dyDescent="0.25">
      <c r="A119" s="83"/>
      <c r="B119" s="83"/>
      <c r="C119" s="83"/>
      <c r="D119" s="83"/>
      <c r="E119" s="83"/>
    </row>
    <row r="120" spans="1:5" x14ac:dyDescent="0.25">
      <c r="A120" s="83"/>
      <c r="B120" s="83"/>
      <c r="C120" s="83"/>
      <c r="D120" s="83"/>
      <c r="E120" s="83"/>
    </row>
    <row r="121" spans="1:5" x14ac:dyDescent="0.25">
      <c r="A121" s="83"/>
      <c r="B121" s="83"/>
      <c r="C121" s="83"/>
      <c r="D121" s="83"/>
      <c r="E121" s="83"/>
    </row>
    <row r="122" spans="1:5" x14ac:dyDescent="0.25">
      <c r="A122" s="83"/>
      <c r="B122" s="83"/>
      <c r="C122" s="83"/>
      <c r="D122" s="83"/>
      <c r="E122" s="83"/>
    </row>
    <row r="123" spans="1:5" x14ac:dyDescent="0.25">
      <c r="A123" s="83"/>
      <c r="B123" s="83"/>
      <c r="C123" s="83"/>
      <c r="D123" s="83"/>
      <c r="E123" s="83"/>
    </row>
    <row r="124" spans="1:5" x14ac:dyDescent="0.25">
      <c r="A124" s="83"/>
      <c r="B124" s="83"/>
      <c r="C124" s="83"/>
      <c r="D124" s="83"/>
      <c r="E124" s="83"/>
    </row>
    <row r="125" spans="1:5" x14ac:dyDescent="0.25">
      <c r="A125" s="83"/>
      <c r="B125" s="83"/>
      <c r="C125" s="83"/>
      <c r="D125" s="83"/>
      <c r="E125" s="83"/>
    </row>
    <row r="126" spans="1:5" x14ac:dyDescent="0.25">
      <c r="A126" s="83"/>
      <c r="B126" s="83"/>
      <c r="C126" s="83"/>
      <c r="D126" s="83"/>
      <c r="E126" s="83"/>
    </row>
    <row r="127" spans="1:5" x14ac:dyDescent="0.25">
      <c r="A127" s="83"/>
      <c r="B127" s="83"/>
      <c r="C127" s="83"/>
      <c r="D127" s="83"/>
      <c r="E127" s="83"/>
    </row>
    <row r="128" spans="1:5" x14ac:dyDescent="0.25">
      <c r="A128" s="83"/>
      <c r="B128" s="83"/>
      <c r="C128" s="83"/>
      <c r="D128" s="83"/>
      <c r="E128" s="83"/>
    </row>
    <row r="129" spans="1:5" x14ac:dyDescent="0.25">
      <c r="A129" s="83"/>
      <c r="B129" s="83"/>
      <c r="C129" s="83"/>
      <c r="D129" s="83"/>
      <c r="E129" s="83"/>
    </row>
    <row r="130" spans="1:5" x14ac:dyDescent="0.25">
      <c r="A130" s="83"/>
      <c r="B130" s="83"/>
      <c r="C130" s="83"/>
      <c r="D130" s="83"/>
      <c r="E130" s="83"/>
    </row>
    <row r="131" spans="1:5" x14ac:dyDescent="0.25">
      <c r="A131" s="83"/>
      <c r="B131" s="83"/>
      <c r="C131" s="83"/>
      <c r="D131" s="83"/>
      <c r="E131" s="83"/>
    </row>
    <row r="132" spans="1:5" x14ac:dyDescent="0.25">
      <c r="A132" s="83"/>
      <c r="B132" s="83"/>
      <c r="C132" s="83"/>
      <c r="D132" s="83"/>
      <c r="E132" s="83"/>
    </row>
    <row r="133" spans="1:5" x14ac:dyDescent="0.25">
      <c r="A133" s="83"/>
      <c r="B133" s="83"/>
      <c r="C133" s="83"/>
      <c r="D133" s="83"/>
      <c r="E133" s="83"/>
    </row>
    <row r="134" spans="1:5" x14ac:dyDescent="0.25">
      <c r="A134" s="83"/>
      <c r="B134" s="83"/>
      <c r="C134" s="83"/>
      <c r="D134" s="83"/>
      <c r="E134" s="83"/>
    </row>
    <row r="135" spans="1:5" x14ac:dyDescent="0.25">
      <c r="A135" s="83"/>
      <c r="B135" s="83"/>
      <c r="C135" s="83"/>
      <c r="D135" s="83"/>
      <c r="E135" s="83"/>
    </row>
    <row r="136" spans="1:5" x14ac:dyDescent="0.25">
      <c r="A136" s="83"/>
      <c r="B136" s="83"/>
      <c r="C136" s="83"/>
      <c r="D136" s="83"/>
      <c r="E136" s="83"/>
    </row>
    <row r="137" spans="1:5" x14ac:dyDescent="0.25">
      <c r="A137" s="83"/>
      <c r="B137" s="83"/>
      <c r="C137" s="83"/>
      <c r="D137" s="83"/>
      <c r="E137" s="83"/>
    </row>
    <row r="138" spans="1:5" x14ac:dyDescent="0.25">
      <c r="A138" s="83"/>
      <c r="B138" s="83"/>
      <c r="C138" s="83"/>
      <c r="D138" s="83"/>
      <c r="E138" s="83"/>
    </row>
    <row r="139" spans="1:5" x14ac:dyDescent="0.25">
      <c r="A139" s="83"/>
      <c r="B139" s="83"/>
      <c r="C139" s="83"/>
      <c r="D139" s="83"/>
      <c r="E139" s="83"/>
    </row>
    <row r="140" spans="1:5" x14ac:dyDescent="0.25">
      <c r="A140" s="83"/>
      <c r="B140" s="83"/>
      <c r="C140" s="83"/>
      <c r="D140" s="83"/>
      <c r="E140" s="83"/>
    </row>
    <row r="141" spans="1:5" x14ac:dyDescent="0.25">
      <c r="A141" s="83"/>
      <c r="B141" s="83"/>
      <c r="C141" s="83"/>
      <c r="D141" s="83"/>
      <c r="E141" s="83"/>
    </row>
    <row r="142" spans="1:5" x14ac:dyDescent="0.25">
      <c r="A142" s="83"/>
      <c r="B142" s="83"/>
      <c r="C142" s="83"/>
      <c r="D142" s="83"/>
      <c r="E142" s="83"/>
    </row>
    <row r="143" spans="1:5" x14ac:dyDescent="0.25">
      <c r="A143" s="83"/>
      <c r="B143" s="83"/>
      <c r="C143" s="83"/>
      <c r="D143" s="83"/>
      <c r="E143" s="83"/>
    </row>
    <row r="144" spans="1:5" x14ac:dyDescent="0.25">
      <c r="A144" s="83"/>
      <c r="B144" s="83"/>
      <c r="C144" s="83"/>
      <c r="D144" s="83"/>
      <c r="E144" s="83"/>
    </row>
    <row r="145" spans="1:5" x14ac:dyDescent="0.25">
      <c r="A145" s="83"/>
      <c r="B145" s="83"/>
      <c r="C145" s="83"/>
      <c r="D145" s="83"/>
      <c r="E145" s="83"/>
    </row>
    <row r="146" spans="1:5" x14ac:dyDescent="0.25">
      <c r="A146" s="83"/>
      <c r="B146" s="83"/>
      <c r="C146" s="83"/>
      <c r="D146" s="83"/>
      <c r="E146" s="83"/>
    </row>
    <row r="147" spans="1:5" x14ac:dyDescent="0.25">
      <c r="A147" s="83"/>
      <c r="B147" s="83"/>
      <c r="C147" s="83"/>
      <c r="D147" s="83"/>
      <c r="E147" s="83"/>
    </row>
    <row r="148" spans="1:5" x14ac:dyDescent="0.25">
      <c r="A148" s="83"/>
      <c r="B148" s="83"/>
      <c r="C148" s="83"/>
      <c r="D148" s="83"/>
      <c r="E148" s="83"/>
    </row>
    <row r="149" spans="1:5" x14ac:dyDescent="0.25">
      <c r="A149" s="83"/>
      <c r="B149" s="83"/>
      <c r="C149" s="83"/>
      <c r="D149" s="83"/>
      <c r="E149" s="83"/>
    </row>
    <row r="150" spans="1:5" x14ac:dyDescent="0.25">
      <c r="A150" s="83"/>
      <c r="B150" s="83"/>
      <c r="C150" s="83"/>
      <c r="D150" s="83"/>
      <c r="E150" s="83"/>
    </row>
    <row r="151" spans="1:5" x14ac:dyDescent="0.25">
      <c r="A151" s="83"/>
      <c r="B151" s="83"/>
      <c r="C151" s="83"/>
      <c r="D151" s="83"/>
      <c r="E151" s="83"/>
    </row>
    <row r="152" spans="1:5" x14ac:dyDescent="0.25">
      <c r="A152" s="83"/>
      <c r="B152" s="83"/>
      <c r="C152" s="83"/>
      <c r="D152" s="83"/>
      <c r="E152" s="83"/>
    </row>
    <row r="153" spans="1:5" x14ac:dyDescent="0.25">
      <c r="A153" s="83"/>
      <c r="B153" s="83"/>
      <c r="C153" s="83"/>
      <c r="D153" s="83"/>
      <c r="E153" s="83"/>
    </row>
    <row r="154" spans="1:5" x14ac:dyDescent="0.25">
      <c r="A154" s="83"/>
      <c r="B154" s="83"/>
      <c r="C154" s="83"/>
      <c r="D154" s="83"/>
      <c r="E154" s="83"/>
    </row>
    <row r="155" spans="1:5" x14ac:dyDescent="0.25">
      <c r="A155" s="83"/>
      <c r="B155" s="83"/>
      <c r="C155" s="83"/>
      <c r="D155" s="83"/>
      <c r="E155" s="83"/>
    </row>
    <row r="156" spans="1:5" x14ac:dyDescent="0.25">
      <c r="A156" s="83"/>
      <c r="B156" s="83"/>
      <c r="C156" s="83"/>
      <c r="D156" s="83"/>
      <c r="E156" s="83"/>
    </row>
    <row r="157" spans="1:5" x14ac:dyDescent="0.25">
      <c r="A157" s="83"/>
      <c r="B157" s="83"/>
      <c r="C157" s="83"/>
      <c r="D157" s="83"/>
      <c r="E157" s="83"/>
    </row>
    <row r="158" spans="1:5" x14ac:dyDescent="0.25">
      <c r="A158" s="83"/>
      <c r="B158" s="83"/>
      <c r="C158" s="83"/>
      <c r="D158" s="83"/>
      <c r="E158" s="83"/>
    </row>
    <row r="159" spans="1:5" x14ac:dyDescent="0.25">
      <c r="A159" s="83"/>
      <c r="B159" s="83"/>
      <c r="C159" s="83"/>
      <c r="D159" s="83"/>
      <c r="E159" s="83"/>
    </row>
    <row r="160" spans="1:5" x14ac:dyDescent="0.25">
      <c r="A160" s="83"/>
      <c r="B160" s="83"/>
      <c r="C160" s="83"/>
      <c r="D160" s="83"/>
      <c r="E160" s="83"/>
    </row>
    <row r="161" spans="1:5" x14ac:dyDescent="0.25">
      <c r="A161" s="83"/>
      <c r="B161" s="83"/>
      <c r="C161" s="83"/>
      <c r="D161" s="83"/>
      <c r="E161" s="83"/>
    </row>
    <row r="162" spans="1:5" x14ac:dyDescent="0.25">
      <c r="A162" s="83"/>
      <c r="B162" s="83"/>
      <c r="C162" s="83"/>
      <c r="D162" s="83"/>
      <c r="E162" s="83"/>
    </row>
    <row r="163" spans="1:5" x14ac:dyDescent="0.25">
      <c r="A163" s="83"/>
      <c r="B163" s="83"/>
      <c r="C163" s="83"/>
      <c r="D163" s="83"/>
      <c r="E163" s="83"/>
    </row>
    <row r="164" spans="1:5" x14ac:dyDescent="0.25">
      <c r="A164" s="83"/>
      <c r="B164" s="83"/>
      <c r="C164" s="83"/>
      <c r="D164" s="83"/>
      <c r="E164" s="83"/>
    </row>
    <row r="165" spans="1:5" x14ac:dyDescent="0.25">
      <c r="A165" s="83"/>
      <c r="B165" s="83"/>
      <c r="C165" s="83"/>
      <c r="D165" s="83"/>
      <c r="E165" s="83"/>
    </row>
    <row r="166" spans="1:5" x14ac:dyDescent="0.25">
      <c r="A166" s="83"/>
      <c r="B166" s="83"/>
      <c r="C166" s="83"/>
      <c r="D166" s="83"/>
      <c r="E166" s="83"/>
    </row>
    <row r="167" spans="1:5" x14ac:dyDescent="0.25">
      <c r="A167" s="83"/>
      <c r="B167" s="83"/>
      <c r="C167" s="83"/>
      <c r="D167" s="83"/>
      <c r="E167" s="83"/>
    </row>
    <row r="168" spans="1:5" x14ac:dyDescent="0.25">
      <c r="A168" s="83"/>
      <c r="B168" s="83"/>
      <c r="C168" s="83"/>
      <c r="D168" s="83"/>
      <c r="E168" s="83"/>
    </row>
    <row r="169" spans="1:5" x14ac:dyDescent="0.25">
      <c r="A169" s="83"/>
      <c r="B169" s="83"/>
      <c r="C169" s="83"/>
      <c r="D169" s="83"/>
      <c r="E169" s="83"/>
    </row>
    <row r="170" spans="1:5" x14ac:dyDescent="0.25">
      <c r="A170" s="83"/>
      <c r="B170" s="83"/>
      <c r="C170" s="83"/>
      <c r="D170" s="83"/>
      <c r="E170" s="83"/>
    </row>
    <row r="171" spans="1:5" x14ac:dyDescent="0.25">
      <c r="A171" s="83"/>
      <c r="B171" s="83"/>
      <c r="C171" s="83"/>
      <c r="D171" s="83"/>
      <c r="E171" s="83"/>
    </row>
    <row r="172" spans="1:5" x14ac:dyDescent="0.25">
      <c r="A172" s="83"/>
      <c r="B172" s="83"/>
      <c r="C172" s="83"/>
      <c r="D172" s="83"/>
      <c r="E172" s="83"/>
    </row>
    <row r="173" spans="1:5" x14ac:dyDescent="0.25">
      <c r="A173" s="83"/>
      <c r="B173" s="83"/>
      <c r="C173" s="83"/>
      <c r="D173" s="83"/>
      <c r="E173" s="83"/>
    </row>
    <row r="174" spans="1:5" x14ac:dyDescent="0.25">
      <c r="A174" s="83"/>
      <c r="B174" s="83"/>
      <c r="C174" s="83"/>
      <c r="D174" s="83"/>
      <c r="E174" s="83"/>
    </row>
    <row r="175" spans="1:5" x14ac:dyDescent="0.25">
      <c r="A175" s="83"/>
      <c r="B175" s="83"/>
      <c r="C175" s="83"/>
      <c r="D175" s="83"/>
      <c r="E175" s="83"/>
    </row>
    <row r="176" spans="1:5" x14ac:dyDescent="0.25">
      <c r="A176" s="83"/>
      <c r="B176" s="83"/>
      <c r="C176" s="83"/>
      <c r="D176" s="83"/>
      <c r="E176" s="83"/>
    </row>
    <row r="177" spans="1:5" x14ac:dyDescent="0.25">
      <c r="A177" s="83"/>
      <c r="B177" s="83"/>
      <c r="C177" s="83"/>
      <c r="D177" s="83"/>
      <c r="E177" s="83"/>
    </row>
    <row r="178" spans="1:5" x14ac:dyDescent="0.25">
      <c r="A178" s="83"/>
      <c r="B178" s="83"/>
      <c r="C178" s="83"/>
      <c r="D178" s="83"/>
      <c r="E178" s="83"/>
    </row>
    <row r="179" spans="1:5" x14ac:dyDescent="0.25">
      <c r="A179" s="83"/>
      <c r="B179" s="83"/>
      <c r="C179" s="83"/>
      <c r="D179" s="83"/>
      <c r="E179" s="83"/>
    </row>
    <row r="180" spans="1:5" x14ac:dyDescent="0.25">
      <c r="A180" s="83"/>
      <c r="B180" s="83"/>
      <c r="C180" s="83"/>
      <c r="D180" s="83"/>
      <c r="E180" s="83"/>
    </row>
    <row r="181" spans="1:5" x14ac:dyDescent="0.25">
      <c r="A181" s="83"/>
      <c r="B181" s="83"/>
      <c r="C181" s="83"/>
      <c r="D181" s="83"/>
      <c r="E181" s="83"/>
    </row>
    <row r="182" spans="1:5" x14ac:dyDescent="0.25">
      <c r="A182" s="83"/>
      <c r="B182" s="83"/>
      <c r="C182" s="83"/>
      <c r="D182" s="83"/>
      <c r="E182" s="83"/>
    </row>
    <row r="183" spans="1:5" x14ac:dyDescent="0.25">
      <c r="A183" s="83"/>
      <c r="B183" s="83"/>
      <c r="C183" s="83"/>
      <c r="D183" s="83"/>
      <c r="E183" s="83"/>
    </row>
    <row r="184" spans="1:5" x14ac:dyDescent="0.25">
      <c r="A184" s="83"/>
      <c r="B184" s="83"/>
      <c r="C184" s="83"/>
      <c r="D184" s="83"/>
      <c r="E184" s="83"/>
    </row>
    <row r="185" spans="1:5" x14ac:dyDescent="0.25">
      <c r="A185" s="83"/>
      <c r="B185" s="83"/>
      <c r="C185" s="83"/>
      <c r="D185" s="83"/>
      <c r="E185" s="83"/>
    </row>
    <row r="186" spans="1:5" x14ac:dyDescent="0.25">
      <c r="A186" s="83"/>
      <c r="B186" s="83"/>
      <c r="C186" s="83"/>
      <c r="D186" s="83"/>
      <c r="E186" s="83"/>
    </row>
    <row r="187" spans="1:5" x14ac:dyDescent="0.25">
      <c r="A187" s="83"/>
      <c r="B187" s="83"/>
      <c r="C187" s="83"/>
      <c r="D187" s="83"/>
      <c r="E187" s="83"/>
    </row>
    <row r="188" spans="1:5" x14ac:dyDescent="0.25">
      <c r="A188" s="83"/>
      <c r="B188" s="83"/>
      <c r="C188" s="83"/>
      <c r="D188" s="83"/>
      <c r="E188" s="83"/>
    </row>
    <row r="189" spans="1:5" x14ac:dyDescent="0.25">
      <c r="A189" s="83"/>
      <c r="B189" s="83"/>
      <c r="C189" s="83"/>
      <c r="D189" s="83"/>
      <c r="E189" s="83"/>
    </row>
    <row r="190" spans="1:5" x14ac:dyDescent="0.25">
      <c r="A190" s="83"/>
      <c r="B190" s="83"/>
      <c r="C190" s="83"/>
      <c r="D190" s="83"/>
      <c r="E190" s="83"/>
    </row>
    <row r="191" spans="1:5" x14ac:dyDescent="0.25">
      <c r="A191" s="83"/>
      <c r="B191" s="83"/>
      <c r="C191" s="83"/>
      <c r="D191" s="83"/>
      <c r="E191" s="83"/>
    </row>
    <row r="192" spans="1:5" x14ac:dyDescent="0.25">
      <c r="A192" s="83"/>
      <c r="B192" s="83"/>
      <c r="C192" s="83"/>
      <c r="D192" s="83"/>
      <c r="E192" s="83"/>
    </row>
    <row r="193" spans="1:5" x14ac:dyDescent="0.25">
      <c r="A193" s="83"/>
      <c r="B193" s="83"/>
      <c r="C193" s="83"/>
      <c r="D193" s="83"/>
      <c r="E193" s="83"/>
    </row>
    <row r="194" spans="1:5" x14ac:dyDescent="0.25">
      <c r="A194" s="83"/>
      <c r="B194" s="83"/>
      <c r="C194" s="83"/>
      <c r="D194" s="83"/>
      <c r="E194" s="83"/>
    </row>
    <row r="195" spans="1:5" x14ac:dyDescent="0.25">
      <c r="A195" s="83"/>
      <c r="B195" s="83"/>
      <c r="C195" s="83"/>
      <c r="D195" s="83"/>
      <c r="E195" s="83"/>
    </row>
    <row r="196" spans="1:5" x14ac:dyDescent="0.25">
      <c r="A196" s="83"/>
      <c r="B196" s="83"/>
      <c r="C196" s="83"/>
      <c r="D196" s="83"/>
      <c r="E196" s="83"/>
    </row>
    <row r="197" spans="1:5" x14ac:dyDescent="0.25">
      <c r="A197" s="83"/>
      <c r="B197" s="83"/>
      <c r="C197" s="83"/>
      <c r="D197" s="83"/>
      <c r="E197" s="83"/>
    </row>
    <row r="198" spans="1:5" x14ac:dyDescent="0.25">
      <c r="A198" s="83"/>
      <c r="B198" s="83"/>
      <c r="C198" s="83"/>
      <c r="D198" s="83"/>
      <c r="E198" s="83"/>
    </row>
    <row r="199" spans="1:5" x14ac:dyDescent="0.25">
      <c r="A199" s="83"/>
      <c r="B199" s="83"/>
      <c r="C199" s="83"/>
      <c r="D199" s="83"/>
      <c r="E199" s="83"/>
    </row>
    <row r="200" spans="1:5" x14ac:dyDescent="0.25">
      <c r="A200" s="83"/>
      <c r="B200" s="83"/>
      <c r="C200" s="83"/>
      <c r="D200" s="83"/>
      <c r="E200" s="83"/>
    </row>
    <row r="201" spans="1:5" x14ac:dyDescent="0.25">
      <c r="A201" s="83"/>
      <c r="B201" s="83"/>
      <c r="C201" s="83"/>
      <c r="D201" s="83"/>
      <c r="E201" s="83"/>
    </row>
    <row r="202" spans="1:5" x14ac:dyDescent="0.25">
      <c r="A202" s="83"/>
      <c r="B202" s="83"/>
      <c r="C202" s="83"/>
      <c r="D202" s="83"/>
      <c r="E202" s="83"/>
    </row>
    <row r="203" spans="1:5" x14ac:dyDescent="0.25">
      <c r="A203" s="83"/>
      <c r="B203" s="83"/>
      <c r="C203" s="83"/>
      <c r="D203" s="83"/>
      <c r="E203" s="83"/>
    </row>
    <row r="204" spans="1:5" x14ac:dyDescent="0.25">
      <c r="A204" s="83"/>
      <c r="B204" s="83"/>
      <c r="C204" s="83"/>
      <c r="D204" s="83"/>
      <c r="E204" s="83"/>
    </row>
    <row r="205" spans="1:5" x14ac:dyDescent="0.25">
      <c r="A205" s="83"/>
      <c r="B205" s="83"/>
      <c r="C205" s="83"/>
      <c r="D205" s="83"/>
      <c r="E205" s="83"/>
    </row>
    <row r="206" spans="1:5" x14ac:dyDescent="0.25">
      <c r="A206" s="83"/>
      <c r="B206" s="83"/>
      <c r="C206" s="83"/>
      <c r="D206" s="83"/>
      <c r="E206" s="83"/>
    </row>
    <row r="207" spans="1:5" x14ac:dyDescent="0.25">
      <c r="A207" s="83"/>
      <c r="B207" s="83"/>
      <c r="C207" s="83"/>
      <c r="D207" s="83"/>
      <c r="E207" s="83"/>
    </row>
    <row r="208" spans="1:5" x14ac:dyDescent="0.25">
      <c r="A208" s="83"/>
      <c r="B208" s="83"/>
      <c r="C208" s="83"/>
      <c r="D208" s="83"/>
      <c r="E208" s="83"/>
    </row>
    <row r="209" spans="1:5" x14ac:dyDescent="0.25">
      <c r="A209" s="83"/>
      <c r="B209" s="83"/>
      <c r="C209" s="83"/>
      <c r="D209" s="83"/>
      <c r="E209" s="83"/>
    </row>
    <row r="210" spans="1:5" x14ac:dyDescent="0.25">
      <c r="A210" s="83"/>
      <c r="B210" s="83"/>
      <c r="C210" s="83"/>
      <c r="D210" s="83"/>
      <c r="E210" s="83"/>
    </row>
    <row r="211" spans="1:5" x14ac:dyDescent="0.25">
      <c r="A211" s="83"/>
      <c r="B211" s="83"/>
      <c r="C211" s="83"/>
      <c r="D211" s="83"/>
      <c r="E211" s="83"/>
    </row>
    <row r="212" spans="1:5" x14ac:dyDescent="0.25">
      <c r="A212" s="83"/>
      <c r="B212" s="83"/>
      <c r="C212" s="83"/>
      <c r="D212" s="83"/>
      <c r="E212" s="83"/>
    </row>
    <row r="213" spans="1:5" x14ac:dyDescent="0.25">
      <c r="A213" s="83"/>
      <c r="B213" s="83"/>
      <c r="C213" s="83"/>
      <c r="D213" s="83"/>
      <c r="E213" s="83"/>
    </row>
    <row r="214" spans="1:5" x14ac:dyDescent="0.25">
      <c r="A214" s="83"/>
      <c r="B214" s="83"/>
      <c r="C214" s="83"/>
      <c r="D214" s="83"/>
      <c r="E214" s="83"/>
    </row>
    <row r="215" spans="1:5" x14ac:dyDescent="0.25">
      <c r="A215" s="83"/>
      <c r="B215" s="83"/>
      <c r="C215" s="83"/>
      <c r="D215" s="83"/>
      <c r="E215" s="83"/>
    </row>
    <row r="216" spans="1:5" x14ac:dyDescent="0.25">
      <c r="A216" s="83"/>
      <c r="B216" s="83"/>
      <c r="C216" s="83"/>
      <c r="D216" s="83"/>
      <c r="E216" s="83"/>
    </row>
    <row r="217" spans="1:5" x14ac:dyDescent="0.25">
      <c r="A217" s="83"/>
      <c r="B217" s="83"/>
      <c r="C217" s="83"/>
      <c r="D217" s="83"/>
      <c r="E217" s="83"/>
    </row>
    <row r="218" spans="1:5" x14ac:dyDescent="0.25">
      <c r="A218" s="83"/>
      <c r="B218" s="83"/>
      <c r="C218" s="83"/>
      <c r="D218" s="83"/>
      <c r="E218" s="83"/>
    </row>
    <row r="219" spans="1:5" x14ac:dyDescent="0.25">
      <c r="A219" s="83"/>
      <c r="B219" s="83"/>
      <c r="C219" s="83"/>
      <c r="D219" s="83"/>
      <c r="E219" s="83"/>
    </row>
    <row r="220" spans="1:5" x14ac:dyDescent="0.25">
      <c r="A220" s="83"/>
      <c r="B220" s="83"/>
      <c r="C220" s="83"/>
      <c r="D220" s="83"/>
      <c r="E220" s="83"/>
    </row>
    <row r="221" spans="1:5" x14ac:dyDescent="0.25">
      <c r="A221" s="83"/>
      <c r="B221" s="83"/>
      <c r="C221" s="83"/>
      <c r="D221" s="83"/>
      <c r="E221" s="83"/>
    </row>
    <row r="222" spans="1:5" x14ac:dyDescent="0.25">
      <c r="A222" s="83"/>
      <c r="B222" s="83"/>
      <c r="C222" s="83"/>
      <c r="D222" s="83"/>
      <c r="E222" s="83"/>
    </row>
    <row r="223" spans="1:5" x14ac:dyDescent="0.25">
      <c r="A223" s="83"/>
      <c r="B223" s="83"/>
      <c r="C223" s="83"/>
      <c r="D223" s="83"/>
      <c r="E223" s="83"/>
    </row>
    <row r="224" spans="1:5" x14ac:dyDescent="0.25">
      <c r="A224" s="83"/>
      <c r="B224" s="83"/>
      <c r="C224" s="83"/>
      <c r="D224" s="83"/>
      <c r="E224" s="83"/>
    </row>
    <row r="225" spans="1:5" x14ac:dyDescent="0.25">
      <c r="A225" s="83"/>
      <c r="B225" s="83"/>
      <c r="C225" s="83"/>
      <c r="D225" s="83"/>
      <c r="E225" s="83"/>
    </row>
    <row r="226" spans="1:5" x14ac:dyDescent="0.25">
      <c r="A226" s="83"/>
      <c r="B226" s="83"/>
      <c r="C226" s="83"/>
      <c r="D226" s="83"/>
      <c r="E226" s="83"/>
    </row>
    <row r="227" spans="1:5" x14ac:dyDescent="0.25">
      <c r="A227" s="83"/>
      <c r="B227" s="83"/>
      <c r="C227" s="83"/>
      <c r="D227" s="83"/>
      <c r="E227" s="83"/>
    </row>
    <row r="228" spans="1:5" x14ac:dyDescent="0.25">
      <c r="A228" s="83"/>
      <c r="B228" s="83"/>
      <c r="C228" s="83"/>
      <c r="D228" s="83"/>
      <c r="E228" s="83"/>
    </row>
    <row r="229" spans="1:5" x14ac:dyDescent="0.25">
      <c r="A229" s="83"/>
      <c r="B229" s="83"/>
      <c r="C229" s="83"/>
      <c r="D229" s="83"/>
      <c r="E229" s="83"/>
    </row>
    <row r="230" spans="1:5" x14ac:dyDescent="0.25">
      <c r="A230" s="83"/>
      <c r="B230" s="83"/>
      <c r="C230" s="83"/>
      <c r="D230" s="83"/>
      <c r="E230" s="83"/>
    </row>
    <row r="231" spans="1:5" x14ac:dyDescent="0.25">
      <c r="A231" s="83"/>
      <c r="B231" s="83"/>
      <c r="C231" s="83"/>
      <c r="D231" s="83"/>
      <c r="E231" s="83"/>
    </row>
    <row r="232" spans="1:5" x14ac:dyDescent="0.25">
      <c r="A232" s="83"/>
      <c r="B232" s="83"/>
      <c r="C232" s="83"/>
      <c r="D232" s="83"/>
      <c r="E232" s="83"/>
    </row>
    <row r="233" spans="1:5" x14ac:dyDescent="0.25">
      <c r="A233" s="83"/>
      <c r="B233" s="83"/>
      <c r="C233" s="83"/>
      <c r="D233" s="83"/>
      <c r="E233" s="83"/>
    </row>
    <row r="234" spans="1:5" x14ac:dyDescent="0.25">
      <c r="A234" s="83"/>
      <c r="B234" s="83"/>
      <c r="C234" s="83"/>
      <c r="D234" s="83"/>
      <c r="E234" s="83"/>
    </row>
    <row r="235" spans="1:5" x14ac:dyDescent="0.25">
      <c r="A235" s="83"/>
      <c r="B235" s="83"/>
      <c r="C235" s="83"/>
      <c r="D235" s="83"/>
      <c r="E235" s="83"/>
    </row>
    <row r="236" spans="1:5" x14ac:dyDescent="0.25">
      <c r="A236" s="83"/>
      <c r="B236" s="83"/>
      <c r="C236" s="83"/>
      <c r="D236" s="83"/>
      <c r="E236" s="83"/>
    </row>
    <row r="237" spans="1:5" x14ac:dyDescent="0.25">
      <c r="A237" s="83"/>
      <c r="B237" s="83"/>
      <c r="C237" s="83"/>
      <c r="D237" s="83"/>
      <c r="E237" s="83"/>
    </row>
    <row r="238" spans="1:5" x14ac:dyDescent="0.25">
      <c r="A238" s="83"/>
      <c r="B238" s="83"/>
      <c r="C238" s="83"/>
      <c r="D238" s="83"/>
      <c r="E238" s="83"/>
    </row>
    <row r="239" spans="1:5" x14ac:dyDescent="0.25">
      <c r="A239" s="83"/>
      <c r="B239" s="83"/>
      <c r="C239" s="83"/>
      <c r="D239" s="83"/>
      <c r="E239" s="83"/>
    </row>
    <row r="240" spans="1:5" x14ac:dyDescent="0.25">
      <c r="A240" s="83"/>
      <c r="B240" s="83"/>
      <c r="C240" s="83"/>
      <c r="D240" s="83"/>
      <c r="E240" s="83"/>
    </row>
    <row r="241" spans="1:5" x14ac:dyDescent="0.25">
      <c r="A241" s="83"/>
      <c r="B241" s="83"/>
      <c r="C241" s="83"/>
      <c r="D241" s="83"/>
      <c r="E241" s="83"/>
    </row>
    <row r="242" spans="1:5" x14ac:dyDescent="0.25">
      <c r="A242" s="83"/>
      <c r="B242" s="83"/>
      <c r="C242" s="83"/>
      <c r="D242" s="83"/>
      <c r="E242" s="83"/>
    </row>
    <row r="243" spans="1:5" x14ac:dyDescent="0.25">
      <c r="A243" s="83"/>
      <c r="B243" s="83"/>
      <c r="C243" s="83"/>
      <c r="D243" s="83"/>
      <c r="E243" s="83"/>
    </row>
    <row r="244" spans="1:5" x14ac:dyDescent="0.25">
      <c r="A244" s="83"/>
      <c r="B244" s="83"/>
      <c r="C244" s="83"/>
      <c r="D244" s="83"/>
      <c r="E244" s="83"/>
    </row>
    <row r="245" spans="1:5" x14ac:dyDescent="0.25">
      <c r="A245" s="83"/>
      <c r="B245" s="83"/>
      <c r="C245" s="83"/>
      <c r="D245" s="83"/>
      <c r="E245" s="83"/>
    </row>
    <row r="246" spans="1:5" x14ac:dyDescent="0.25">
      <c r="A246" s="83"/>
      <c r="B246" s="83"/>
      <c r="C246" s="83"/>
      <c r="D246" s="83"/>
      <c r="E246" s="83"/>
    </row>
    <row r="247" spans="1:5" x14ac:dyDescent="0.25">
      <c r="A247" s="83"/>
      <c r="B247" s="83"/>
      <c r="C247" s="83"/>
      <c r="D247" s="83"/>
      <c r="E247" s="83"/>
    </row>
    <row r="248" spans="1:5" x14ac:dyDescent="0.25">
      <c r="A248" s="83"/>
      <c r="B248" s="83"/>
      <c r="C248" s="83"/>
      <c r="D248" s="83"/>
      <c r="E248" s="83"/>
    </row>
    <row r="249" spans="1:5" x14ac:dyDescent="0.25">
      <c r="A249" s="83"/>
      <c r="B249" s="83"/>
      <c r="C249" s="83"/>
      <c r="D249" s="83"/>
      <c r="E249" s="83"/>
    </row>
    <row r="250" spans="1:5" x14ac:dyDescent="0.25">
      <c r="A250" s="83"/>
      <c r="B250" s="83"/>
      <c r="C250" s="83"/>
      <c r="D250" s="83"/>
      <c r="E250" s="83"/>
    </row>
    <row r="251" spans="1:5" x14ac:dyDescent="0.25">
      <c r="A251" s="83"/>
      <c r="B251" s="83"/>
      <c r="C251" s="83"/>
      <c r="D251" s="83"/>
      <c r="E251" s="83"/>
    </row>
    <row r="252" spans="1:5" x14ac:dyDescent="0.25">
      <c r="A252" s="83"/>
      <c r="B252" s="83"/>
      <c r="C252" s="83"/>
      <c r="D252" s="83"/>
      <c r="E252" s="83"/>
    </row>
    <row r="253" spans="1:5" x14ac:dyDescent="0.25">
      <c r="A253" s="83"/>
      <c r="B253" s="83"/>
      <c r="C253" s="83"/>
      <c r="D253" s="83"/>
      <c r="E253" s="83"/>
    </row>
    <row r="254" spans="1:5" x14ac:dyDescent="0.25">
      <c r="A254" s="83"/>
      <c r="B254" s="83"/>
      <c r="C254" s="83"/>
      <c r="D254" s="83"/>
      <c r="E254" s="83"/>
    </row>
    <row r="255" spans="1:5" x14ac:dyDescent="0.25">
      <c r="A255" s="83"/>
      <c r="B255" s="83"/>
      <c r="C255" s="83"/>
      <c r="D255" s="83"/>
      <c r="E255" s="83"/>
    </row>
    <row r="256" spans="1:5" x14ac:dyDescent="0.25">
      <c r="A256" s="83"/>
      <c r="B256" s="83"/>
      <c r="C256" s="83"/>
      <c r="D256" s="83"/>
      <c r="E256" s="83"/>
    </row>
  </sheetData>
  <pageMargins left="0.511811024" right="0.511811024" top="0.78740157499999996" bottom="0.78740157499999996" header="0.31496062000000002" footer="0.31496062000000002"/>
  <pageSetup paperSize="9" scale="77" fitToHeight="0" orientation="portrait" r:id="rId1"/>
  <headerFooter>
    <oddFooter>&amp;L_x000D_&amp;1#&amp;"Calibri"&amp;10&amp;K000000 Classificação da Informação: Interno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7D70E-B66D-44E4-93D1-663A97ACEA7D}">
  <sheetPr>
    <tabColor rgb="FFFFC000"/>
    <pageSetUpPr fitToPage="1"/>
  </sheetPr>
  <dimension ref="A1:P14"/>
  <sheetViews>
    <sheetView showGridLines="0" view="pageBreakPreview" topLeftCell="A8" zoomScaleNormal="80" zoomScaleSheetLayoutView="100" workbookViewId="0">
      <selection activeCell="C10" sqref="C10"/>
    </sheetView>
  </sheetViews>
  <sheetFormatPr defaultRowHeight="15" x14ac:dyDescent="0.25"/>
  <cols>
    <col min="1" max="1" width="23.7109375" customWidth="1"/>
    <col min="2" max="2" width="30.7109375" customWidth="1"/>
    <col min="3" max="4" width="13.28515625" customWidth="1"/>
    <col min="5" max="5" width="20.7109375" customWidth="1"/>
    <col min="6" max="6" width="17.7109375" customWidth="1"/>
    <col min="7" max="7" width="9.28515625" customWidth="1"/>
  </cols>
  <sheetData>
    <row r="1" spans="1:16" ht="30" customHeight="1" thickBot="1" x14ac:dyDescent="0.3">
      <c r="A1" s="1"/>
      <c r="B1" s="61" t="s">
        <v>5</v>
      </c>
      <c r="C1" s="62"/>
      <c r="D1" s="63"/>
      <c r="E1" s="2" t="s">
        <v>9</v>
      </c>
      <c r="F1" s="3" t="s">
        <v>12</v>
      </c>
    </row>
    <row r="2" spans="1:16" ht="30" customHeight="1" thickBot="1" x14ac:dyDescent="0.3">
      <c r="A2" s="4"/>
      <c r="B2" s="64"/>
      <c r="C2" s="65"/>
      <c r="D2" s="66"/>
      <c r="E2" s="5" t="s">
        <v>6</v>
      </c>
      <c r="F2" s="6" t="s">
        <v>7</v>
      </c>
    </row>
    <row r="3" spans="1:16" ht="15.75" thickBot="1" x14ac:dyDescent="0.3">
      <c r="A3" s="51" t="s">
        <v>8</v>
      </c>
      <c r="B3" s="52"/>
      <c r="C3" s="52"/>
      <c r="D3" s="52"/>
      <c r="E3" s="52"/>
      <c r="F3" s="53"/>
    </row>
    <row r="4" spans="1:16" ht="15.75" thickBot="1" x14ac:dyDescent="0.3">
      <c r="A4" s="7"/>
      <c r="B4" s="52"/>
      <c r="C4" s="52"/>
      <c r="D4" s="53"/>
      <c r="E4" s="8" t="s">
        <v>10</v>
      </c>
      <c r="F4" s="8" t="s">
        <v>11</v>
      </c>
    </row>
    <row r="5" spans="1:16" ht="15.75" thickBot="1" x14ac:dyDescent="0.3">
      <c r="A5" s="18"/>
      <c r="B5" s="19"/>
      <c r="C5" s="19"/>
      <c r="D5" s="19"/>
      <c r="E5" s="19"/>
      <c r="F5" s="20"/>
    </row>
    <row r="6" spans="1:16" ht="49.35" customHeight="1" thickBot="1" x14ac:dyDescent="0.3">
      <c r="A6" s="54" t="s">
        <v>18</v>
      </c>
      <c r="B6" s="55"/>
      <c r="C6" s="55"/>
      <c r="D6" s="55"/>
      <c r="E6" s="55"/>
      <c r="F6" s="56"/>
    </row>
    <row r="7" spans="1:16" ht="15" customHeight="1" thickBot="1" x14ac:dyDescent="0.3">
      <c r="A7" s="4"/>
      <c r="F7" s="21"/>
    </row>
    <row r="8" spans="1:16" s="9" customFormat="1" ht="50.1" customHeight="1" thickBot="1" x14ac:dyDescent="0.3">
      <c r="A8" s="57" t="s">
        <v>19</v>
      </c>
      <c r="B8" s="58"/>
      <c r="C8" s="67"/>
      <c r="D8" s="32" t="s">
        <v>2</v>
      </c>
      <c r="E8" s="32" t="s">
        <v>0</v>
      </c>
      <c r="F8" s="32" t="s">
        <v>1</v>
      </c>
      <c r="I8" s="45"/>
      <c r="J8" s="46"/>
      <c r="K8" s="46"/>
      <c r="L8" s="46"/>
      <c r="M8" s="46"/>
      <c r="N8" s="46"/>
      <c r="O8" s="46"/>
      <c r="P8" s="46"/>
    </row>
    <row r="9" spans="1:16" ht="30" customHeight="1" x14ac:dyDescent="0.25">
      <c r="A9" s="47" t="s">
        <v>15</v>
      </c>
      <c r="B9" s="59"/>
      <c r="C9" s="31">
        <v>3.6</v>
      </c>
      <c r="D9" s="26">
        <v>0.05</v>
      </c>
      <c r="E9" s="27">
        <f>C9*(1-D9)</f>
        <v>3.42</v>
      </c>
      <c r="F9" s="28">
        <f>C9*(1+D9)</f>
        <v>3.78</v>
      </c>
      <c r="G9" s="22"/>
      <c r="H9" s="44"/>
      <c r="I9" s="46"/>
      <c r="J9" s="46"/>
      <c r="K9" s="46"/>
      <c r="L9" s="46"/>
      <c r="M9" s="46"/>
      <c r="N9" s="46"/>
      <c r="O9" s="46"/>
      <c r="P9" s="46"/>
    </row>
    <row r="10" spans="1:16" ht="30" customHeight="1" x14ac:dyDescent="0.25">
      <c r="A10" s="49"/>
      <c r="B10" s="60"/>
      <c r="C10" s="34">
        <v>7.2</v>
      </c>
      <c r="D10" s="13">
        <v>0.05</v>
      </c>
      <c r="E10" s="38">
        <f t="shared" ref="E10:E14" si="0">C10*(1-D10)</f>
        <v>6.84</v>
      </c>
      <c r="F10" s="39">
        <f t="shared" ref="F10:F11" si="1">C10*(1+D10)</f>
        <v>7.56</v>
      </c>
      <c r="G10" s="22"/>
      <c r="I10" s="46"/>
      <c r="J10" s="46"/>
      <c r="K10" s="46"/>
      <c r="L10" s="46"/>
      <c r="M10" s="46"/>
      <c r="N10" s="46"/>
      <c r="O10" s="46"/>
      <c r="P10" s="46"/>
    </row>
    <row r="11" spans="1:16" ht="30" customHeight="1" thickBot="1" x14ac:dyDescent="0.3">
      <c r="A11" s="49"/>
      <c r="B11" s="60"/>
      <c r="C11" s="35">
        <v>10.8</v>
      </c>
      <c r="D11" s="36">
        <v>0.05</v>
      </c>
      <c r="E11" s="16">
        <f t="shared" si="0"/>
        <v>10.26</v>
      </c>
      <c r="F11" s="17">
        <f t="shared" si="1"/>
        <v>11.340000000000002</v>
      </c>
      <c r="G11" s="22"/>
      <c r="H11" s="23"/>
      <c r="I11" s="46"/>
      <c r="J11" s="46"/>
      <c r="K11" s="46"/>
      <c r="L11" s="46"/>
      <c r="M11" s="46"/>
      <c r="N11" s="46"/>
      <c r="O11" s="46"/>
      <c r="P11" s="46"/>
    </row>
    <row r="12" spans="1:16" ht="30" customHeight="1" x14ac:dyDescent="0.25">
      <c r="A12" s="47" t="s">
        <v>16</v>
      </c>
      <c r="B12" s="48"/>
      <c r="C12" s="33">
        <v>5</v>
      </c>
      <c r="D12" s="37">
        <v>0.05</v>
      </c>
      <c r="E12" s="40">
        <f>C12*(1-D12)</f>
        <v>4.75</v>
      </c>
      <c r="F12" s="41">
        <f>C12*(1+D12)</f>
        <v>5.25</v>
      </c>
      <c r="G12" s="22"/>
      <c r="I12" s="46"/>
      <c r="J12" s="46"/>
      <c r="K12" s="46"/>
      <c r="L12" s="46"/>
      <c r="M12" s="46"/>
      <c r="N12" s="46"/>
      <c r="O12" s="46"/>
      <c r="P12" s="46"/>
    </row>
    <row r="13" spans="1:16" ht="30" customHeight="1" x14ac:dyDescent="0.25">
      <c r="A13" s="49"/>
      <c r="B13" s="50"/>
      <c r="C13" s="11">
        <v>10</v>
      </c>
      <c r="D13" s="25">
        <v>0.05</v>
      </c>
      <c r="E13" s="42">
        <f>C13*(1-D13)</f>
        <v>9.5</v>
      </c>
      <c r="F13" s="43">
        <f>C13*(1+D13)</f>
        <v>10.5</v>
      </c>
      <c r="G13" s="22"/>
      <c r="I13" s="46"/>
      <c r="J13" s="46"/>
      <c r="K13" s="46"/>
      <c r="L13" s="46"/>
      <c r="M13" s="46"/>
      <c r="N13" s="46"/>
      <c r="O13" s="46"/>
      <c r="P13" s="46"/>
    </row>
    <row r="14" spans="1:16" ht="30" customHeight="1" thickBot="1" x14ac:dyDescent="0.3">
      <c r="A14" s="49"/>
      <c r="B14" s="50"/>
      <c r="C14" s="10">
        <v>20</v>
      </c>
      <c r="D14" s="12">
        <v>0.05</v>
      </c>
      <c r="E14" s="14">
        <f t="shared" si="0"/>
        <v>19</v>
      </c>
      <c r="F14" s="15">
        <f>C14*(1+D14)</f>
        <v>21</v>
      </c>
      <c r="G14" s="22"/>
      <c r="H14" s="23"/>
    </row>
  </sheetData>
  <mergeCells count="8">
    <mergeCell ref="I8:P13"/>
    <mergeCell ref="B1:D2"/>
    <mergeCell ref="A3:F3"/>
    <mergeCell ref="A6:F6"/>
    <mergeCell ref="A8:C8"/>
    <mergeCell ref="B4:D4"/>
    <mergeCell ref="A9:B11"/>
    <mergeCell ref="A12:B14"/>
  </mergeCells>
  <pageMargins left="0.511811024" right="0.511811024" top="0.78740157499999996" bottom="0.78740157499999996" header="0.31496062000000002" footer="0.31496062000000002"/>
  <pageSetup paperSize="9" scale="77" orientation="portrait" r:id="rId1"/>
  <headerFooter>
    <oddFooter>&amp;L_x000D_&amp;1#&amp;"Calibri"&amp;10&amp;K000000 Classificação da Informação: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Pontos </vt:lpstr>
      <vt:lpstr>Esteira Ergomé</vt:lpstr>
      <vt:lpstr>'Esteira Ergomé'!Area_de_impressao</vt:lpstr>
      <vt:lpstr>'Pontos '!Area_de_impressao</vt:lpstr>
    </vt:vector>
  </TitlesOfParts>
  <Manager/>
  <Company>Unimed Porto Alegre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Iriane Prado de Santis</dc:creator>
  <cp:keywords/>
  <dc:description/>
  <cp:lastModifiedBy>Junior Antonio Da Silva Santos</cp:lastModifiedBy>
  <cp:lastPrinted>2025-07-23T13:20:57Z</cp:lastPrinted>
  <dcterms:created xsi:type="dcterms:W3CDTF">2025-03-28T13:11:03Z</dcterms:created>
  <dcterms:modified xsi:type="dcterms:W3CDTF">2026-10-28T13:00:16Z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8f32e1-08e7-4d25-af77-74969178c833_Enabled">
    <vt:lpwstr>true</vt:lpwstr>
  </property>
  <property fmtid="{D5CDD505-2E9C-101B-9397-08002B2CF9AE}" pid="3" name="MSIP_Label_548f32e1-08e7-4d25-af77-74969178c833_SetDate">
    <vt:lpwstr>2025-03-28T14:01:22Z</vt:lpwstr>
  </property>
  <property fmtid="{D5CDD505-2E9C-101B-9397-08002B2CF9AE}" pid="4" name="MSIP_Label_548f32e1-08e7-4d25-af77-74969178c833_Method">
    <vt:lpwstr>Standard</vt:lpwstr>
  </property>
  <property fmtid="{D5CDD505-2E9C-101B-9397-08002B2CF9AE}" pid="5" name="MSIP_Label_548f32e1-08e7-4d25-af77-74969178c833_Name">
    <vt:lpwstr>Interna</vt:lpwstr>
  </property>
  <property fmtid="{D5CDD505-2E9C-101B-9397-08002B2CF9AE}" pid="6" name="MSIP_Label_548f32e1-08e7-4d25-af77-74969178c833_SiteId">
    <vt:lpwstr>062096f2-76c0-4ed8-b8bf-6644178496b2</vt:lpwstr>
  </property>
  <property fmtid="{D5CDD505-2E9C-101B-9397-08002B2CF9AE}" pid="7" name="MSIP_Label_548f32e1-08e7-4d25-af77-74969178c833_ActionId">
    <vt:lpwstr>4b76e56f-e7a8-4281-a4f9-7f9b4aed6b98</vt:lpwstr>
  </property>
  <property fmtid="{D5CDD505-2E9C-101B-9397-08002B2CF9AE}" pid="8" name="MSIP_Label_548f32e1-08e7-4d25-af77-74969178c833_ContentBits">
    <vt:lpwstr>2</vt:lpwstr>
  </property>
</Properties>
</file>