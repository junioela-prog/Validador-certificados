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uperintendência de Próprios\Engenharia Clínica\ERROS PERMISSÍVEIS\"/>
    </mc:Choice>
  </mc:AlternateContent>
  <xr:revisionPtr revIDLastSave="0" documentId="11_EA74D3F8839AFBB2B778BCE906E0FA48941AEC8C" xr6:coauthVersionLast="47" xr6:coauthVersionMax="47" xr10:uidLastSave="{00000000-0000-0000-0000-000000000000}"/>
  <bookViews>
    <workbookView xWindow="-20610" yWindow="-1155" windowWidth="20730" windowHeight="11040" firstSheet="7" activeTab="7" xr2:uid="{00000000-000D-0000-FFFF-FFFF00000000}"/>
  </bookViews>
  <sheets>
    <sheet name="Balanças" sheetId="11" r:id="rId1"/>
    <sheet name="Cardioversor e DEA" sheetId="23" r:id="rId2"/>
    <sheet name="Monitor Multi + Monitor Triagem" sheetId="7" r:id="rId3"/>
    <sheet name="Oxímetro de pulso" sheetId="25" r:id="rId4"/>
    <sheet name="Esfigmo Dig + Esfigmo Analogico" sheetId="34" r:id="rId5"/>
    <sheet name="Centrífugas_Workstation_Mini_Ce" sheetId="29" r:id="rId6"/>
    <sheet name="Esteira Ergomé" sheetId="26" state="hidden" r:id="rId7"/>
    <sheet name="Eletrocardiógrafo" sheetId="30" r:id="rId8"/>
    <sheet name="Esteira ergómetrica" sheetId="39" r:id="rId9"/>
    <sheet name="Eletrocautério + Bisturi" sheetId="28" r:id="rId10"/>
    <sheet name="Estufa e Aquecedores em geral" sheetId="12" r:id="rId11"/>
    <sheet name="Micropipetas" sheetId="4" r:id="rId12"/>
    <sheet name="Termohigrômetro e Termômetro" sheetId="9" r:id="rId13"/>
    <sheet name="Nexxto" sheetId="38" r:id="rId14"/>
    <sheet name="Sensor Câmara_Freezer" sheetId="37" r:id="rId15"/>
    <sheet name="Bombas Infusão e Seringa" sheetId="22" r:id="rId16"/>
    <sheet name="Ventilador pulmonar e Aut fluxo" sheetId="27" r:id="rId17"/>
    <sheet name="Incubadora Neonatal" sheetId="31" r:id="rId18"/>
    <sheet name="Laser Vermelho e Infravermelho" sheetId="32" r:id="rId19"/>
    <sheet name="Espirômetro" sheetId="35" r:id="rId20"/>
  </sheets>
  <definedNames>
    <definedName name="_xlnm.Print_Area" localSheetId="0">Balanças!$A$1:$F$34</definedName>
    <definedName name="_xlnm.Print_Area" localSheetId="15">'Bombas Infusão e Seringa'!$A$1:$F$28</definedName>
    <definedName name="_xlnm.Print_Area" localSheetId="1">'Cardioversor e DEA'!$A$1:$O$46</definedName>
    <definedName name="_xlnm.Print_Area" localSheetId="5">Centrífugas_Workstation_Mini_Ce!$A$1:$L$78</definedName>
    <definedName name="_xlnm.Print_Area" localSheetId="7">Eletrocardiógrafo!$A$1:$F$11</definedName>
    <definedName name="_xlnm.Print_Area" localSheetId="9">'Eletrocautério + Bisturi'!$A$1:$F$28</definedName>
    <definedName name="_xlnm.Print_Area" localSheetId="4">'Esfigmo Dig + Esfigmo Analogico'!$A$1:$K$15</definedName>
    <definedName name="_xlnm.Print_Area" localSheetId="19">Espirômetro!$A$1:$E$10</definedName>
    <definedName name="_xlnm.Print_Area" localSheetId="6">'Esteira Ergomé'!$A$1:$F$14</definedName>
    <definedName name="_xlnm.Print_Area" localSheetId="10">'Estufa e Aquecedores em geral'!$A$1:$F$48</definedName>
    <definedName name="_xlnm.Print_Area" localSheetId="17">'Incubadora Neonatal'!$A$1:$E$47</definedName>
    <definedName name="_xlnm.Print_Area" localSheetId="18">'Laser Vermelho e Infravermelho'!$A$1:$E$31</definedName>
    <definedName name="_xlnm.Print_Area" localSheetId="11">Micropipetas!$A$1:$L$57</definedName>
    <definedName name="_xlnm.Print_Area" localSheetId="2">'Monitor Multi + Monitor Triagem'!$A$1:$K$24</definedName>
    <definedName name="_xlnm.Print_Area" localSheetId="13">Nexxto!$A$1:$F$27</definedName>
    <definedName name="_xlnm.Print_Area" localSheetId="3">'Oxímetro de pulso'!$A$1:$F$15</definedName>
    <definedName name="_xlnm.Print_Area" localSheetId="14">'Sensor Câmara_Freezer'!$A$1:$F$23</definedName>
    <definedName name="_xlnm.Print_Area" localSheetId="12">'Termohigrômetro e Termômetro'!$A$1:$K$25</definedName>
    <definedName name="_xlnm.Print_Area" localSheetId="16">'Ventilador pulmonar e Aut fluxo'!$A$1:$M$28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0" l="1"/>
  <c r="E9" i="35"/>
  <c r="D9" i="35"/>
  <c r="E30" i="32"/>
  <c r="D30" i="32"/>
  <c r="E29" i="32"/>
  <c r="D29" i="32"/>
  <c r="E28" i="32"/>
  <c r="D28" i="32"/>
  <c r="E27" i="32"/>
  <c r="D27" i="32"/>
  <c r="E24" i="32"/>
  <c r="D24" i="32"/>
  <c r="E23" i="32"/>
  <c r="D23" i="32"/>
  <c r="E22" i="32"/>
  <c r="D22" i="32"/>
  <c r="E21" i="32"/>
  <c r="D21" i="32"/>
  <c r="E18" i="32"/>
  <c r="D18" i="32"/>
  <c r="E17" i="32"/>
  <c r="D17" i="32"/>
  <c r="E16" i="32"/>
  <c r="D16" i="32"/>
  <c r="E15" i="32"/>
  <c r="D15" i="32"/>
  <c r="E12" i="32"/>
  <c r="D12" i="32"/>
  <c r="E9" i="32"/>
  <c r="D9" i="32"/>
  <c r="E46" i="31"/>
  <c r="D46" i="31"/>
  <c r="E45" i="31"/>
  <c r="D45" i="31"/>
  <c r="E44" i="31"/>
  <c r="D44" i="31"/>
  <c r="E41" i="31"/>
  <c r="D41" i="31"/>
  <c r="E40" i="31"/>
  <c r="D40" i="31"/>
  <c r="E39" i="31"/>
  <c r="D39" i="31"/>
  <c r="E36" i="31"/>
  <c r="D36" i="31"/>
  <c r="E35" i="31"/>
  <c r="D35" i="31"/>
  <c r="E34" i="31"/>
  <c r="D34" i="31"/>
  <c r="E31" i="31"/>
  <c r="E30" i="31"/>
  <c r="E29" i="31"/>
  <c r="E28" i="31"/>
  <c r="D28" i="31"/>
  <c r="E27" i="31"/>
  <c r="D27" i="31"/>
  <c r="E26" i="31"/>
  <c r="D26" i="31"/>
  <c r="E22" i="31"/>
  <c r="D22" i="31"/>
  <c r="E19" i="31"/>
  <c r="D19" i="31"/>
  <c r="E18" i="31"/>
  <c r="D18" i="31"/>
  <c r="E17" i="31"/>
  <c r="D17" i="31"/>
  <c r="E11" i="31"/>
  <c r="D11" i="31"/>
  <c r="E10" i="31"/>
  <c r="D10" i="31"/>
  <c r="E9" i="31"/>
  <c r="D9" i="31"/>
  <c r="F27" i="27"/>
  <c r="E27" i="27"/>
  <c r="F26" i="27"/>
  <c r="E26" i="27"/>
  <c r="F25" i="27"/>
  <c r="E25" i="27"/>
  <c r="F24" i="27"/>
  <c r="E24" i="27"/>
  <c r="F23" i="27"/>
  <c r="E23" i="27"/>
  <c r="F22" i="27"/>
  <c r="E22" i="27"/>
  <c r="F21" i="27"/>
  <c r="E21" i="27"/>
  <c r="F20" i="27"/>
  <c r="E20" i="27"/>
  <c r="F19" i="27"/>
  <c r="E19" i="27"/>
  <c r="F18" i="27"/>
  <c r="E18" i="27"/>
  <c r="F17" i="27"/>
  <c r="E17" i="27"/>
  <c r="F16" i="27"/>
  <c r="E16" i="27"/>
  <c r="F15" i="27"/>
  <c r="E15" i="27"/>
  <c r="F14" i="27"/>
  <c r="E14" i="27"/>
  <c r="M13" i="27"/>
  <c r="L13" i="27"/>
  <c r="F13" i="27"/>
  <c r="E13" i="27"/>
  <c r="M12" i="27"/>
  <c r="L12" i="27"/>
  <c r="F12" i="27"/>
  <c r="E12" i="27"/>
  <c r="M11" i="27"/>
  <c r="L11" i="27"/>
  <c r="F11" i="27"/>
  <c r="E11" i="27"/>
  <c r="M10" i="27"/>
  <c r="L10" i="27"/>
  <c r="F10" i="27"/>
  <c r="E10" i="27"/>
  <c r="M9" i="27"/>
  <c r="L9" i="27"/>
  <c r="F9" i="27"/>
  <c r="E9" i="27"/>
  <c r="F24" i="22"/>
  <c r="E24" i="22"/>
  <c r="F23" i="22"/>
  <c r="E23" i="22"/>
  <c r="F22" i="22"/>
  <c r="E22" i="22"/>
  <c r="F19" i="22"/>
  <c r="E19" i="22"/>
  <c r="F18" i="22"/>
  <c r="E18" i="22"/>
  <c r="F17" i="22"/>
  <c r="E17" i="22"/>
  <c r="F11" i="22"/>
  <c r="E11" i="22"/>
  <c r="F10" i="22"/>
  <c r="E10" i="22"/>
  <c r="F9" i="22"/>
  <c r="E9" i="22"/>
  <c r="F19" i="37"/>
  <c r="E19" i="37"/>
  <c r="F18" i="37"/>
  <c r="E18" i="37"/>
  <c r="F17" i="37"/>
  <c r="E17" i="37"/>
  <c r="F11" i="37"/>
  <c r="E11" i="37"/>
  <c r="F10" i="37"/>
  <c r="E10" i="37"/>
  <c r="F9" i="37"/>
  <c r="E9" i="37"/>
  <c r="F26" i="38"/>
  <c r="E26" i="38"/>
  <c r="F25" i="38"/>
  <c r="E25" i="38"/>
  <c r="F24" i="38"/>
  <c r="E24" i="38"/>
  <c r="F23" i="38"/>
  <c r="E23" i="38"/>
  <c r="F17" i="38"/>
  <c r="E17" i="38"/>
  <c r="F16" i="38"/>
  <c r="E16" i="38"/>
  <c r="F10" i="38"/>
  <c r="E10" i="38"/>
  <c r="F9" i="38"/>
  <c r="E9" i="38"/>
  <c r="E24" i="9"/>
  <c r="D24" i="9"/>
  <c r="E23" i="9"/>
  <c r="D23" i="9"/>
  <c r="E22" i="9"/>
  <c r="D22" i="9"/>
  <c r="E19" i="9"/>
  <c r="D19" i="9"/>
  <c r="K18" i="9"/>
  <c r="J18" i="9"/>
  <c r="E18" i="9"/>
  <c r="D18" i="9"/>
  <c r="K17" i="9"/>
  <c r="J17" i="9"/>
  <c r="E17" i="9"/>
  <c r="D17" i="9"/>
  <c r="K16" i="9"/>
  <c r="J16" i="9"/>
  <c r="E16" i="9"/>
  <c r="D16" i="9"/>
  <c r="K15" i="9"/>
  <c r="J15" i="9"/>
  <c r="E15" i="9"/>
  <c r="D15" i="9"/>
  <c r="K14" i="9"/>
  <c r="J14" i="9"/>
  <c r="E14" i="9"/>
  <c r="D14" i="9"/>
  <c r="K11" i="9"/>
  <c r="J11" i="9"/>
  <c r="E11" i="9"/>
  <c r="D11" i="9"/>
  <c r="K10" i="9"/>
  <c r="J10" i="9"/>
  <c r="E10" i="9"/>
  <c r="D10" i="9"/>
  <c r="K9" i="9"/>
  <c r="J9" i="9"/>
  <c r="E9" i="9"/>
  <c r="D9" i="9"/>
  <c r="E56" i="4"/>
  <c r="D56" i="4"/>
  <c r="E55" i="4"/>
  <c r="D55" i="4"/>
  <c r="E54" i="4"/>
  <c r="D54" i="4"/>
  <c r="E53" i="4"/>
  <c r="D53" i="4"/>
  <c r="E52" i="4"/>
  <c r="D52" i="4"/>
  <c r="E48" i="4"/>
  <c r="D48" i="4"/>
  <c r="E47" i="4"/>
  <c r="D47" i="4"/>
  <c r="E46" i="4"/>
  <c r="D46" i="4"/>
  <c r="L43" i="4"/>
  <c r="K43" i="4"/>
  <c r="E43" i="4"/>
  <c r="D43" i="4"/>
  <c r="L42" i="4"/>
  <c r="K42" i="4"/>
  <c r="E42" i="4"/>
  <c r="D42" i="4"/>
  <c r="L41" i="4"/>
  <c r="K41" i="4"/>
  <c r="E41" i="4"/>
  <c r="D41" i="4"/>
  <c r="E36" i="4"/>
  <c r="D36" i="4"/>
  <c r="E35" i="4"/>
  <c r="D35" i="4"/>
  <c r="E34" i="4"/>
  <c r="D34" i="4"/>
  <c r="L31" i="4"/>
  <c r="K31" i="4"/>
  <c r="E31" i="4"/>
  <c r="D31" i="4"/>
  <c r="L30" i="4"/>
  <c r="K30" i="4"/>
  <c r="E30" i="4"/>
  <c r="D30" i="4"/>
  <c r="L29" i="4"/>
  <c r="K29" i="4"/>
  <c r="E29" i="4"/>
  <c r="D29" i="4"/>
  <c r="L25" i="4"/>
  <c r="K25" i="4"/>
  <c r="E25" i="4"/>
  <c r="D25" i="4"/>
  <c r="L24" i="4"/>
  <c r="K24" i="4"/>
  <c r="E24" i="4"/>
  <c r="D24" i="4"/>
  <c r="L23" i="4"/>
  <c r="K23" i="4"/>
  <c r="E23" i="4"/>
  <c r="D23" i="4"/>
  <c r="E20" i="4"/>
  <c r="D20" i="4"/>
  <c r="E19" i="4"/>
  <c r="D19" i="4"/>
  <c r="L18" i="4"/>
  <c r="K18" i="4"/>
  <c r="E18" i="4"/>
  <c r="D18" i="4"/>
  <c r="E15" i="4"/>
  <c r="D15" i="4"/>
  <c r="E14" i="4"/>
  <c r="D14" i="4"/>
  <c r="E13" i="4"/>
  <c r="D13" i="4"/>
  <c r="L12" i="4"/>
  <c r="K12" i="4"/>
  <c r="E12" i="4"/>
  <c r="D12" i="4"/>
  <c r="L11" i="4"/>
  <c r="K11" i="4"/>
  <c r="E11" i="4"/>
  <c r="D11" i="4"/>
  <c r="L10" i="4"/>
  <c r="K10" i="4"/>
  <c r="E10" i="4"/>
  <c r="D10" i="4"/>
  <c r="F47" i="12"/>
  <c r="E47" i="12"/>
  <c r="F44" i="12"/>
  <c r="E44" i="12"/>
  <c r="F43" i="12"/>
  <c r="E43" i="12"/>
  <c r="F42" i="12"/>
  <c r="E42" i="12"/>
  <c r="F39" i="12"/>
  <c r="E39" i="12"/>
  <c r="F38" i="12"/>
  <c r="E38" i="12"/>
  <c r="F37" i="12"/>
  <c r="E37" i="12"/>
  <c r="F36" i="12"/>
  <c r="E36" i="12"/>
  <c r="F33" i="12"/>
  <c r="E33" i="12"/>
  <c r="F32" i="12"/>
  <c r="E32" i="12"/>
  <c r="F31" i="12"/>
  <c r="E31" i="12"/>
  <c r="F30" i="12"/>
  <c r="E30" i="12"/>
  <c r="F27" i="12"/>
  <c r="E27" i="12"/>
  <c r="F26" i="12"/>
  <c r="E26" i="12"/>
  <c r="F25" i="12"/>
  <c r="E25" i="12"/>
  <c r="F22" i="12"/>
  <c r="E22" i="12"/>
  <c r="F19" i="12"/>
  <c r="E19" i="12"/>
  <c r="F18" i="12"/>
  <c r="E18" i="12"/>
  <c r="F17" i="12"/>
  <c r="E17" i="12"/>
  <c r="F14" i="12"/>
  <c r="E14" i="12"/>
  <c r="F13" i="12"/>
  <c r="E13" i="12"/>
  <c r="F12" i="12"/>
  <c r="E12" i="12"/>
  <c r="F11" i="12"/>
  <c r="E11" i="12"/>
  <c r="F10" i="12"/>
  <c r="E10" i="12"/>
  <c r="F9" i="12"/>
  <c r="E9" i="12"/>
  <c r="F27" i="28"/>
  <c r="E27" i="28"/>
  <c r="F26" i="28"/>
  <c r="E26" i="28"/>
  <c r="F25" i="28"/>
  <c r="E25" i="28"/>
  <c r="F24" i="28"/>
  <c r="E24" i="28"/>
  <c r="F23" i="28"/>
  <c r="E23" i="28"/>
  <c r="F22" i="28"/>
  <c r="E22" i="28"/>
  <c r="F21" i="28"/>
  <c r="E21" i="28"/>
  <c r="F20" i="28"/>
  <c r="E20" i="28"/>
  <c r="F18" i="28"/>
  <c r="E18" i="28"/>
  <c r="F17" i="28"/>
  <c r="E17" i="28"/>
  <c r="F16" i="28"/>
  <c r="E16" i="28"/>
  <c r="F15" i="28"/>
  <c r="E15" i="28"/>
  <c r="F14" i="28"/>
  <c r="E14" i="28"/>
  <c r="F13" i="28"/>
  <c r="E13" i="28"/>
  <c r="F12" i="28"/>
  <c r="E12" i="28"/>
  <c r="F11" i="28"/>
  <c r="E11" i="28"/>
  <c r="F10" i="28"/>
  <c r="E10" i="28"/>
  <c r="F9" i="28"/>
  <c r="E9" i="28"/>
  <c r="F11" i="30"/>
  <c r="E11" i="30"/>
  <c r="F10" i="30"/>
  <c r="E10" i="30"/>
  <c r="F9" i="30"/>
  <c r="F14" i="26"/>
  <c r="E14" i="26"/>
  <c r="F13" i="26"/>
  <c r="E13" i="26"/>
  <c r="F12" i="26"/>
  <c r="E12" i="26"/>
  <c r="F11" i="26"/>
  <c r="E11" i="26"/>
  <c r="F10" i="26"/>
  <c r="E10" i="26"/>
  <c r="F9" i="26"/>
  <c r="E9" i="26"/>
  <c r="L73" i="29"/>
  <c r="K73" i="29"/>
  <c r="L72" i="29"/>
  <c r="K72" i="29"/>
  <c r="L71" i="29"/>
  <c r="K71" i="29"/>
  <c r="E71" i="29"/>
  <c r="D71" i="29"/>
  <c r="E66" i="29"/>
  <c r="D66" i="29"/>
  <c r="E63" i="29"/>
  <c r="D63" i="29"/>
  <c r="L62" i="29"/>
  <c r="K62" i="29"/>
  <c r="E62" i="29"/>
  <c r="D62" i="29"/>
  <c r="L55" i="29"/>
  <c r="K55" i="29"/>
  <c r="E55" i="29"/>
  <c r="D55" i="29"/>
  <c r="L54" i="29"/>
  <c r="K54" i="29"/>
  <c r="E54" i="29"/>
  <c r="D54" i="29"/>
  <c r="L53" i="29"/>
  <c r="K53" i="29"/>
  <c r="E53" i="29"/>
  <c r="D53" i="29"/>
  <c r="L45" i="29"/>
  <c r="K45" i="29"/>
  <c r="E45" i="29"/>
  <c r="D45" i="29"/>
  <c r="L44" i="29"/>
  <c r="K44" i="29"/>
  <c r="E44" i="29"/>
  <c r="D44" i="29"/>
  <c r="L43" i="29"/>
  <c r="K43" i="29"/>
  <c r="E43" i="29"/>
  <c r="D43" i="29"/>
  <c r="E37" i="29"/>
  <c r="D37" i="29"/>
  <c r="E36" i="29"/>
  <c r="D36" i="29"/>
  <c r="E35" i="29"/>
  <c r="D35" i="29"/>
  <c r="L29" i="29"/>
  <c r="K29" i="29"/>
  <c r="E29" i="29"/>
  <c r="D29" i="29"/>
  <c r="L28" i="29"/>
  <c r="K28" i="29"/>
  <c r="E28" i="29"/>
  <c r="D28" i="29"/>
  <c r="L27" i="29"/>
  <c r="K27" i="29"/>
  <c r="E27" i="29"/>
  <c r="D27" i="29"/>
  <c r="E20" i="29"/>
  <c r="D20" i="29"/>
  <c r="E19" i="29"/>
  <c r="D19" i="29"/>
  <c r="E18" i="29"/>
  <c r="D18" i="29"/>
  <c r="E12" i="29"/>
  <c r="D12" i="29"/>
  <c r="E11" i="29"/>
  <c r="D11" i="29"/>
  <c r="E10" i="29"/>
  <c r="D10" i="29"/>
  <c r="E14" i="34"/>
  <c r="D14" i="34"/>
  <c r="K13" i="34"/>
  <c r="J13" i="34"/>
  <c r="E13" i="34"/>
  <c r="D13" i="34"/>
  <c r="K12" i="34"/>
  <c r="J12" i="34"/>
  <c r="E12" i="34"/>
  <c r="D12" i="34"/>
  <c r="K11" i="34"/>
  <c r="J11" i="34"/>
  <c r="E11" i="34"/>
  <c r="D11" i="34"/>
  <c r="K10" i="34"/>
  <c r="J10" i="34"/>
  <c r="E10" i="34"/>
  <c r="D10" i="34"/>
  <c r="K9" i="34"/>
  <c r="J9" i="34"/>
  <c r="E9" i="34"/>
  <c r="D9" i="34"/>
  <c r="F14" i="25"/>
  <c r="E14" i="25"/>
  <c r="F13" i="25"/>
  <c r="E13" i="25"/>
  <c r="F12" i="25"/>
  <c r="E12" i="25"/>
  <c r="F11" i="25"/>
  <c r="E11" i="25"/>
  <c r="F10" i="25"/>
  <c r="E10" i="25"/>
  <c r="F9" i="25"/>
  <c r="E9" i="25"/>
  <c r="K23" i="7"/>
  <c r="J23" i="7"/>
  <c r="E23" i="7"/>
  <c r="D23" i="7"/>
  <c r="K22" i="7"/>
  <c r="J22" i="7"/>
  <c r="E22" i="7"/>
  <c r="D22" i="7"/>
  <c r="K21" i="7"/>
  <c r="J21" i="7"/>
  <c r="E21" i="7"/>
  <c r="D21" i="7"/>
  <c r="K20" i="7"/>
  <c r="J20" i="7"/>
  <c r="E20" i="7"/>
  <c r="D20" i="7"/>
  <c r="K19" i="7"/>
  <c r="J19" i="7"/>
  <c r="E19" i="7"/>
  <c r="D19" i="7"/>
  <c r="K18" i="7"/>
  <c r="J18" i="7"/>
  <c r="E18" i="7"/>
  <c r="D18" i="7"/>
  <c r="K17" i="7"/>
  <c r="J17" i="7"/>
  <c r="E17" i="7"/>
  <c r="D17" i="7"/>
  <c r="K16" i="7"/>
  <c r="J16" i="7"/>
  <c r="E16" i="7"/>
  <c r="D16" i="7"/>
  <c r="K15" i="7"/>
  <c r="J15" i="7"/>
  <c r="E15" i="7"/>
  <c r="D15" i="7"/>
  <c r="K14" i="7"/>
  <c r="J14" i="7"/>
  <c r="E14" i="7"/>
  <c r="D14" i="7"/>
  <c r="K13" i="7"/>
  <c r="J13" i="7"/>
  <c r="E13" i="7"/>
  <c r="D13" i="7"/>
  <c r="K12" i="7"/>
  <c r="J12" i="7"/>
  <c r="E12" i="7"/>
  <c r="D12" i="7"/>
  <c r="K11" i="7"/>
  <c r="J11" i="7"/>
  <c r="E11" i="7"/>
  <c r="D11" i="7"/>
  <c r="K10" i="7"/>
  <c r="J10" i="7"/>
  <c r="E10" i="7"/>
  <c r="D10" i="7"/>
  <c r="K9" i="7"/>
  <c r="J9" i="7"/>
  <c r="E9" i="7"/>
  <c r="D9" i="7"/>
  <c r="G44" i="23"/>
  <c r="F44" i="23"/>
  <c r="G43" i="23"/>
  <c r="F43" i="23"/>
  <c r="G42" i="23"/>
  <c r="F42" i="23"/>
  <c r="G41" i="23"/>
  <c r="F41" i="23"/>
  <c r="G40" i="23"/>
  <c r="F40" i="23"/>
  <c r="G39" i="23"/>
  <c r="F39" i="23"/>
  <c r="G38" i="23"/>
  <c r="F38" i="23"/>
  <c r="G37" i="23"/>
  <c r="F37" i="23"/>
  <c r="G36" i="23"/>
  <c r="F36" i="23"/>
  <c r="G35" i="23"/>
  <c r="F35" i="23"/>
  <c r="G34" i="23"/>
  <c r="F34" i="23"/>
  <c r="G33" i="23"/>
  <c r="F33" i="23"/>
  <c r="G32" i="23"/>
  <c r="F32" i="23"/>
  <c r="G31" i="23"/>
  <c r="F31" i="23"/>
  <c r="G30" i="23"/>
  <c r="F30" i="23"/>
  <c r="G28" i="23"/>
  <c r="F28" i="23"/>
  <c r="G27" i="23"/>
  <c r="F27" i="23"/>
  <c r="G26" i="23"/>
  <c r="F26" i="23"/>
  <c r="G25" i="23"/>
  <c r="F25" i="23"/>
  <c r="G24" i="23"/>
  <c r="F24" i="23"/>
  <c r="G22" i="23"/>
  <c r="F22" i="23"/>
  <c r="G21" i="23"/>
  <c r="F21" i="23"/>
  <c r="G20" i="23"/>
  <c r="F20" i="23"/>
  <c r="G19" i="23"/>
  <c r="F19" i="23"/>
  <c r="G18" i="23"/>
  <c r="F18" i="23"/>
  <c r="G17" i="23"/>
  <c r="F17" i="23"/>
  <c r="G16" i="23"/>
  <c r="F16" i="23"/>
  <c r="G15" i="23"/>
  <c r="F15" i="23"/>
  <c r="G14" i="23"/>
  <c r="F14" i="23"/>
  <c r="G13" i="23"/>
  <c r="F13" i="23"/>
  <c r="G12" i="23"/>
  <c r="F12" i="23"/>
  <c r="O11" i="23"/>
  <c r="N11" i="23"/>
  <c r="G11" i="23"/>
  <c r="F11" i="23"/>
  <c r="O10" i="23"/>
  <c r="N10" i="23"/>
  <c r="G10" i="23"/>
  <c r="F10" i="23"/>
  <c r="O9" i="23"/>
  <c r="N9" i="23"/>
  <c r="G9" i="23"/>
  <c r="F9" i="23"/>
  <c r="O8" i="23"/>
  <c r="N8" i="23"/>
  <c r="G8" i="23"/>
  <c r="F8" i="23"/>
  <c r="F33" i="11"/>
  <c r="E33" i="11"/>
  <c r="F32" i="11"/>
  <c r="E32" i="11"/>
  <c r="F31" i="11"/>
  <c r="E31" i="11"/>
  <c r="F30" i="11"/>
  <c r="E30" i="11"/>
  <c r="F29" i="11"/>
  <c r="E29" i="11"/>
  <c r="F28" i="11"/>
  <c r="E28" i="11"/>
  <c r="F25" i="11"/>
  <c r="E25" i="11"/>
  <c r="F24" i="11"/>
  <c r="E24" i="11"/>
  <c r="F23" i="11"/>
  <c r="E23" i="11"/>
  <c r="F20" i="11"/>
  <c r="E20" i="11"/>
  <c r="F19" i="11"/>
  <c r="E19" i="11"/>
  <c r="F18" i="11"/>
  <c r="E18" i="11"/>
  <c r="F17" i="11"/>
  <c r="E17" i="11"/>
  <c r="F16" i="11"/>
  <c r="E16" i="11"/>
  <c r="F13" i="11"/>
  <c r="E13" i="11"/>
  <c r="F12" i="11"/>
  <c r="E12" i="11"/>
  <c r="F11" i="11"/>
  <c r="E11" i="11"/>
  <c r="F10" i="11"/>
  <c r="E10" i="11"/>
  <c r="F9" i="11"/>
  <c r="E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tc={3F9CD04C-4424-4C6D-8247-AC2986674E3E}</author>
    <author>tc={34B42010-2829-4831-B8CC-BB15A55183FD}</author>
    <author>tc={D7A9BC06-CEAB-4E32-B9D4-BF861B45BE34}</author>
  </authors>
  <commentList>
    <comment ref="B43" authorId="0" shapeId="0" xr:uid="{3F9CD04C-4424-4C6D-8247-AC2986674E3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Soro</t>
      </text>
    </comment>
    <comment ref="B44" authorId="1" shapeId="0" xr:uid="{34B42010-2829-4831-B8CC-BB15A55183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Citrato</t>
      </text>
    </comment>
    <comment ref="B45" authorId="2" shapeId="0" xr:uid="{D7A9BC06-CEAB-4E32-B9D4-BF861B45BE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Tubo de coleta com fundo em V Salivette®</t>
      </text>
    </comment>
  </commentList>
</comments>
</file>

<file path=xl/sharedStrings.xml><?xml version="1.0" encoding="utf-8"?>
<sst xmlns="http://schemas.openxmlformats.org/spreadsheetml/2006/main" count="661" uniqueCount="178">
  <si>
    <t>Pontos para calibração no parâmetro de rotação (RPM)</t>
  </si>
  <si>
    <t>Pontos para calibração no parâmetro de tempo (MINUTOS)</t>
  </si>
  <si>
    <t>Limite mínimo aceitável</t>
  </si>
  <si>
    <t>Limite máximo aceitável</t>
  </si>
  <si>
    <t>Desvio aceitável</t>
  </si>
  <si>
    <t>Modelo: Excelsa 2206</t>
  </si>
  <si>
    <t>Modelo: Excelsa 3400</t>
  </si>
  <si>
    <t>Modelo: Q222TM</t>
  </si>
  <si>
    <t>Modelo: 5702</t>
  </si>
  <si>
    <t>Modelo: 380</t>
  </si>
  <si>
    <t>Modelo: 420</t>
  </si>
  <si>
    <t>Modelos: 
ALB80RE, ALB50CS</t>
  </si>
  <si>
    <t>Modelo:
 ALB12CC</t>
  </si>
  <si>
    <t>Modelo: Excelsa 280</t>
  </si>
  <si>
    <t>Modelo: Excelsa 2206 
Setor Espermograma</t>
  </si>
  <si>
    <t>INBRAS</t>
  </si>
  <si>
    <t>FANEM</t>
  </si>
  <si>
    <t>QUIMIS</t>
  </si>
  <si>
    <t>EPPENDORF</t>
  </si>
  <si>
    <t>HETTICH</t>
  </si>
  <si>
    <t>SARTORIUS</t>
  </si>
  <si>
    <t>Pontos para calibração no parâmetro volume (uL)</t>
  </si>
  <si>
    <t>Modelo: 
ABO-B 10Ul - 360 uL</t>
  </si>
  <si>
    <t>Pipetas Modelo Research Plus Fixa 1000uL</t>
  </si>
  <si>
    <t>Ponto para calibração no parâmetro volume (uL)</t>
  </si>
  <si>
    <t>Modelo Research Plus 
2uL - 20uL</t>
  </si>
  <si>
    <t>Modelo Research Plus 
10uL - 100uL</t>
  </si>
  <si>
    <t>Modelo Research Plus 
20uL - 200uL</t>
  </si>
  <si>
    <t>Modelo Research Plus
100uL - 1000uL</t>
  </si>
  <si>
    <t>Pipetas Modelo Research Plus Fixa 0,5uL-5mL</t>
  </si>
  <si>
    <t>KASVI</t>
  </si>
  <si>
    <t>Pipetas Modelo Basic 12 canais
20uL-200uL</t>
  </si>
  <si>
    <t>Pipetas Modelo Basic
100uL-1000uL</t>
  </si>
  <si>
    <t>Pontos para calibração no parâmetro de oximetria 
SPO2 (%)</t>
  </si>
  <si>
    <t>Pontos para calibração no parâmetro frequência cardíaca
FC (BPM)</t>
  </si>
  <si>
    <t>Pontos para calibração no parâmetro pressão não invasiva
PNI
SISTÓLICA (mmHg)</t>
  </si>
  <si>
    <t>Pontos para calibração no parâmetro pressão não invasiva
PNI
DIASTÓLICA (mmHg)</t>
  </si>
  <si>
    <t>Pontos para calibração no parâmetro respiração
FR (BRPM)</t>
  </si>
  <si>
    <t xml:space="preserve">Pontos para calibração no parâmetro temperatura
SENSOR EXTERNO - OUT
°C
</t>
  </si>
  <si>
    <t>Termômetro infravermelho utilizado em maletas (amostras e medicamentos)</t>
  </si>
  <si>
    <t xml:space="preserve">Pontos para calibração no parâmetro temperatura
°C
</t>
  </si>
  <si>
    <t>Termômetro infravermelho utilizado em paciente</t>
  </si>
  <si>
    <t>Balança analítica - Área de processamento</t>
  </si>
  <si>
    <t>Estufa</t>
  </si>
  <si>
    <t>Berço aquecido</t>
  </si>
  <si>
    <t>± 35 mmhg</t>
  </si>
  <si>
    <t>Eletrocardiógrafo</t>
  </si>
  <si>
    <t>Pontos para calibração no parâmetro volume
mL</t>
  </si>
  <si>
    <t>Pontos para calibração no parâmetro fluxo volumétrico
mL/h</t>
  </si>
  <si>
    <t>4 min e 45 seg</t>
  </si>
  <si>
    <t>5 min e 15 seg</t>
  </si>
  <si>
    <t>6 min e 45 seg</t>
  </si>
  <si>
    <t xml:space="preserve"> 7 min e 15 seg</t>
  </si>
  <si>
    <t>Valores para calibração no parâmetro de Capnografia
ETCO2%</t>
  </si>
  <si>
    <t>Valores para calibração no parâmetro de energia  DESFIBRILAÇÃO
J (joules)</t>
  </si>
  <si>
    <t>Esfigmomanômetro Analógico</t>
  </si>
  <si>
    <t>Pontos para calibração no parâmetro pressão 
mmHg</t>
  </si>
  <si>
    <t>Termohigrômetro em TEMPERATURA AMBIENTE</t>
  </si>
  <si>
    <t>Termômetro ou Termohigrômetro instalados em freezer</t>
  </si>
  <si>
    <t>Termômetro ou Termohigrômetro instalados em geladeira e ou frigobar</t>
  </si>
  <si>
    <t>Oxímetro de pulso (leito ou portátil)</t>
  </si>
  <si>
    <t>Ventiladores Pulmonares e Sistema de Auto Fluxo</t>
  </si>
  <si>
    <t xml:space="preserve">Pontos para calibração no parâmetro Frequência Respiratória
RPM
</t>
  </si>
  <si>
    <t>Pontos para calibração no parâmetro PEEP 
cmH2O%</t>
  </si>
  <si>
    <t>Pontos para calibração de corte Monopolar Cut
Ω / W</t>
  </si>
  <si>
    <t>Pontos para calibração de Coagulação Contact
Ω / W</t>
  </si>
  <si>
    <t>Eletrocautério + Bisturi elétrico Modelo SS-200E</t>
  </si>
  <si>
    <t>Modelo Reference 1 e 2
100uL - 1000uL</t>
  </si>
  <si>
    <t>Modelo Reference 2 e Reasearch Plus
0,5uL - 10uL</t>
  </si>
  <si>
    <t>Modelo Multipette M4
1uL - 10mL</t>
  </si>
  <si>
    <t xml:space="preserve">UMIDADE
%
</t>
  </si>
  <si>
    <t>Pontos para calibração no parâmetro volume Expiratório
mL</t>
  </si>
  <si>
    <t>Termociclador</t>
  </si>
  <si>
    <t>Umidificador respiratório</t>
  </si>
  <si>
    <t>Pontos para calibração no parâmetro volume (uL) com ponteira de 1ML</t>
  </si>
  <si>
    <t>Pontos para calibração no parâmetro massa (gramas)
g</t>
  </si>
  <si>
    <t>Pontos para calibração no parâmetro massa (quilograma)
Kg</t>
  </si>
  <si>
    <t>Pontos para calibração no parâmetro massa
Kg (quilograma)</t>
  </si>
  <si>
    <t>Tabela de Erros Permissíveis para Calibração de Equipamentos Médicos</t>
  </si>
  <si>
    <t>Tipo:</t>
  </si>
  <si>
    <t xml:space="preserve"> Registro</t>
  </si>
  <si>
    <t>Este documento faz parte do Sistema de Gestão da Qualidade da Unimed Porto Alegre</t>
  </si>
  <si>
    <r>
      <t>N</t>
    </r>
    <r>
      <rPr>
        <sz val="10"/>
        <color theme="1"/>
        <rFont val="Symbol"/>
        <family val="1"/>
        <charset val="2"/>
      </rPr>
      <t>°</t>
    </r>
    <r>
      <rPr>
        <sz val="10"/>
        <color theme="1"/>
        <rFont val="Arial"/>
        <family val="2"/>
      </rPr>
      <t xml:space="preserve"> / Rev.:</t>
    </r>
  </si>
  <si>
    <t>Cardioversores</t>
  </si>
  <si>
    <t>Eletrocautério + Bisturi elétrico Modelo HF-120</t>
  </si>
  <si>
    <t>Bomba de infusão - Fresenius</t>
  </si>
  <si>
    <t>Bomba de infusão - Lifemed</t>
  </si>
  <si>
    <t>Bomba de seringa - Fresenius</t>
  </si>
  <si>
    <t>Elaborado em: 20/08/2018</t>
  </si>
  <si>
    <t>Revisado em: 23/07/2025</t>
  </si>
  <si>
    <t xml:space="preserve"> RQ.COR.111/08</t>
  </si>
  <si>
    <t>Família de Equipamentos: Micropipetas</t>
  </si>
  <si>
    <r>
      <rPr>
        <b/>
        <sz val="18"/>
        <color theme="1"/>
        <rFont val="Calibri"/>
        <family val="2"/>
        <scheme val="minor"/>
      </rPr>
      <t>Família de Equipamentos: Termômetros e Termohigrômetros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*para condições climáticas e de temperatura são utilizados pontos de comparação próximos aos estabelecidos.</t>
    </r>
  </si>
  <si>
    <t>Família de Equipamentos:
Oxímetro de pulso</t>
  </si>
  <si>
    <t>Família de Equipamentos:
Ventiladores Pulmonares e Sistema de Auto Fluxo</t>
  </si>
  <si>
    <t>Família de Equipamentos:
Bombas de infusão e de seringa</t>
  </si>
  <si>
    <t>Família de Equipamentos: Balanças</t>
  </si>
  <si>
    <t>Família de Equipamentos: Centrífugas</t>
  </si>
  <si>
    <t>Família de Equipamentos:
Elétrocautério (Unifácil - Dermatologia)</t>
  </si>
  <si>
    <t>Balança digital - Neonatal</t>
  </si>
  <si>
    <r>
      <t xml:space="preserve">Pontos para calibração no parâmetro Concentração de O2
FiO2 %
</t>
    </r>
    <r>
      <rPr>
        <b/>
        <sz val="8"/>
        <color theme="1"/>
        <rFont val="Calibri"/>
        <family val="2"/>
        <scheme val="minor"/>
      </rPr>
      <t xml:space="preserve">
Calibrar de acordo com os pontos que cada modelo permite:
Drager -&gt; Evita V600: De 21% a 100%.
Drager -&gt; Oxylog 2000: De 50% e 100%
Drager -&gt; VE300: 100%
Magnamed -&gt; Oxymag: de 40% a 100%</t>
    </r>
  </si>
  <si>
    <t>Ortho Clinical</t>
  </si>
  <si>
    <t>Modelo: Workstation</t>
  </si>
  <si>
    <t>Kasvi</t>
  </si>
  <si>
    <t>Modelo: K14-0602</t>
  </si>
  <si>
    <t>Platespin</t>
  </si>
  <si>
    <t>Modelo: Mini Centrifuga</t>
  </si>
  <si>
    <t>Biosan</t>
  </si>
  <si>
    <t>Modelo: MSV-3500</t>
  </si>
  <si>
    <t>Balança plataforma  500Kg</t>
  </si>
  <si>
    <t>Pontos para calibração no parâmetro
Km/h</t>
  </si>
  <si>
    <t xml:space="preserve">Pontos para calibração no parâmetro amplitude
</t>
  </si>
  <si>
    <t>Família de Equipamentos:
Eletrocardiógrafo</t>
  </si>
  <si>
    <t>Incubadora Biológica</t>
  </si>
  <si>
    <t xml:space="preserve">Bloco térmico / Banho Maria </t>
  </si>
  <si>
    <t>Manta térmica (Covidien)</t>
  </si>
  <si>
    <t>Manta térmica (Nellcor)</t>
  </si>
  <si>
    <t>Pontos para calibração no parâmetro Pressão Inspiratória cmH2O%
Oxylog 2000 Plus não tem</t>
  </si>
  <si>
    <t>Família de Equipamentos:
Incubadora Neonatal</t>
  </si>
  <si>
    <t>Família de Equipamentos:
Espirômetro</t>
  </si>
  <si>
    <t>Pontos para calibração no parâmetro de potência Veremelho e Infravermelho
Tempo (Segundos)</t>
  </si>
  <si>
    <t>Família de Equipamentos:
Monitor multiparâmetros e Monitores de triagem</t>
  </si>
  <si>
    <t>Monitores multiparâmetros</t>
  </si>
  <si>
    <t>Monitores de triagem</t>
  </si>
  <si>
    <t>Pontos para calibração no parâmetro frequência cardíaca
da oximetria (BPM)</t>
  </si>
  <si>
    <t xml:space="preserve">Pontos para calibração no parâmetro temperaura
°C
</t>
  </si>
  <si>
    <t>Família de Equipamentos:
Esfigmomanômetro Digital e Esfigmomanômetro Analógico</t>
  </si>
  <si>
    <t>Esfigmomanômetro Digital</t>
  </si>
  <si>
    <t>Família de Equipamentos:
Cardioversores e Desfibrilador Automático (DEA)</t>
  </si>
  <si>
    <t>Desfibrilação</t>
  </si>
  <si>
    <t>Capnografia</t>
  </si>
  <si>
    <t xml:space="preserve"> Temperatura do Ar (Cúpula)</t>
  </si>
  <si>
    <t>Temperatura Servo (Sensor de Pele)</t>
  </si>
  <si>
    <t>Pressão máxima - Babypuff</t>
  </si>
  <si>
    <t xml:space="preserve">Pontos para calibração do Babypuff
mbar
</t>
  </si>
  <si>
    <t>Pressão ins (PIP) - Babypuff</t>
  </si>
  <si>
    <t>PEEP - Babypuff</t>
  </si>
  <si>
    <t>Blender</t>
  </si>
  <si>
    <t>Pontos para calibração do Babypuff
cmH₂O</t>
  </si>
  <si>
    <t>Pontos para calibração do Blender
cmH₂O</t>
  </si>
  <si>
    <t xml:space="preserve">Ruído </t>
  </si>
  <si>
    <t>Ponto para calibração no Ruído
dBA</t>
  </si>
  <si>
    <t>Concentração de Oxigênio
%O2</t>
  </si>
  <si>
    <t>Família de Equipamentos:
Estufas
Bloco térmico, Banho maria, Incubadora biológica
Berço aquecido
Manta térmica
Termociclador
Umidificador respiratório</t>
  </si>
  <si>
    <t>Sistema de Auto Fluxo</t>
  </si>
  <si>
    <t>Pontos para calibração no parâmetro de potência - Luz Vermelha
mW</t>
  </si>
  <si>
    <t>Pontos para calibração no parâmetro de potência - Luz Infravermelha
mW</t>
  </si>
  <si>
    <t>Família de Equipamentos:
Laser Vermelho/Infravermelho</t>
  </si>
  <si>
    <t>Função (Monitor Multiparametros)</t>
  </si>
  <si>
    <t>Pontos para calibração no parâmetro de potência - Luz Infravermelha
Joules (J)</t>
  </si>
  <si>
    <t>Pontos para calibração no parâmetro de potência - Luz Vermelha
Joules (J)</t>
  </si>
  <si>
    <t>Ensaio de exatidação do comprimento de onda da luz emitida pelo laser
(660 nm)</t>
  </si>
  <si>
    <t>TEMPO (s)</t>
  </si>
  <si>
    <t>Fluxo</t>
  </si>
  <si>
    <t>Família de Equipamentos:
Câmaras de Conservação e Freezers</t>
  </si>
  <si>
    <t>Câmara de Conservação</t>
  </si>
  <si>
    <t>Pontos para calibração no parâmetro Temperatura
°C</t>
  </si>
  <si>
    <t>Freezer</t>
  </si>
  <si>
    <t>Ambiente</t>
  </si>
  <si>
    <t>Pontos para calibração no parâmetro Umidade
%UR</t>
  </si>
  <si>
    <t>Família de Equipamentos:
Sensores Nexxto</t>
  </si>
  <si>
    <t>Pontos para calibração no parâmetro temperatura
°C</t>
  </si>
  <si>
    <t>Família de Equipamentos:
Esteira ergométrica</t>
  </si>
  <si>
    <t>Esteira ergométrica</t>
  </si>
  <si>
    <t>Modelo: Mikro 200</t>
  </si>
  <si>
    <t>Pipetas Modelo Premium Black - 08 canais
0,5uL-10uL</t>
  </si>
  <si>
    <t>Desfibrilador DEA - NIHON KOHDEN</t>
  </si>
  <si>
    <t>Valores para calibração no parâmetro de energia 
J (joules)</t>
  </si>
  <si>
    <r>
      <t xml:space="preserve">Valores para calibração no parâmetro de energia 
J (joules)
</t>
    </r>
    <r>
      <rPr>
        <b/>
        <u/>
        <sz val="11"/>
        <rFont val="Calibri"/>
        <family val="2"/>
        <scheme val="minor"/>
      </rPr>
      <t>Marca ZOLL
Modelo M2</t>
    </r>
  </si>
  <si>
    <r>
      <t xml:space="preserve">Valores para calibração no parâmetro de energia  
J (joules)
</t>
    </r>
    <r>
      <rPr>
        <b/>
        <u/>
        <sz val="11"/>
        <rFont val="Calibri"/>
        <family val="2"/>
        <scheme val="minor"/>
      </rPr>
      <t>Marca  MINDRAY
Modelo BeneHeart D3</t>
    </r>
  </si>
  <si>
    <r>
      <t xml:space="preserve">Valores para calibração no parâmetro de energia 
J (joules)
</t>
    </r>
    <r>
      <rPr>
        <b/>
        <u/>
        <sz val="11"/>
        <rFont val="Calibri"/>
        <family val="2"/>
        <scheme val="minor"/>
      </rPr>
      <t>Marca  INSTRAMED
Modelo Cardiomax</t>
    </r>
  </si>
  <si>
    <r>
      <t xml:space="preserve">Valores para calibração no parâmetro de energia 
J (joules)
</t>
    </r>
    <r>
      <rPr>
        <b/>
        <u/>
        <sz val="11"/>
        <rFont val="Calibri"/>
        <family val="2"/>
        <scheme val="minor"/>
      </rPr>
      <t xml:space="preserve">Marca  PHILIPS
Modelo DFM100
</t>
    </r>
  </si>
  <si>
    <t>Esteira ergómetrica</t>
  </si>
  <si>
    <t>Pontos para calibração no parâmetro de inclinação</t>
  </si>
  <si>
    <t>Pontos para calibração no parâmetro de velocidade (km/h)</t>
  </si>
  <si>
    <t xml:space="preserve"> RQ.COR.111/10</t>
  </si>
  <si>
    <t>Balança digital e bioimpedância - Adultos</t>
  </si>
  <si>
    <t>Revisado em: 03/07/2026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</si>
</sst>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AD0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887081514938816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3AEAEE"/>
        <bgColor indexed="64"/>
      </patternFill>
    </fill>
    <fill>
      <patternFill patternType="solid">
        <fgColor rgb="FF30BE4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4" tint="0.59990234076967686"/>
        <bgColor indexed="64"/>
      </patternFill>
    </fill>
    <fill>
      <patternFill patternType="solid">
        <fgColor rgb="FFD1A3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4233"/>
        <bgColor indexed="64"/>
      </patternFill>
    </fill>
    <fill>
      <patternFill patternType="solid">
        <fgColor theme="7" tint="0.59990234076967686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8947111423078"/>
        <bgColor indexed="64"/>
      </patternFill>
    </fill>
    <fill>
      <patternFill patternType="solid">
        <fgColor rgb="FFF7ED71"/>
        <bgColor indexed="64"/>
      </patternFill>
    </fill>
    <fill>
      <patternFill patternType="solid">
        <fgColor rgb="FFF7EA3B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-0.24988555558946501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0234076967686"/>
        <bgColor indexed="64"/>
      </patternFill>
    </fill>
    <fill>
      <patternFill patternType="solid">
        <fgColor rgb="FFF165C2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6" tint="-0.49992370372631001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89996032593768116"/>
        <bgColor indexed="64"/>
      </patternFill>
    </fill>
  </fills>
  <borders count="9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 style="medium">
        <color theme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theme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auto="1"/>
      </top>
      <bottom style="medium">
        <color auto="1"/>
      </bottom>
      <diagonal/>
    </border>
    <border>
      <left style="medium">
        <color theme="1"/>
      </left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auto="1"/>
      </right>
      <top/>
      <bottom/>
      <diagonal/>
    </border>
    <border>
      <left style="medium">
        <color theme="1"/>
      </left>
      <right style="medium">
        <color auto="1"/>
      </right>
      <top/>
      <bottom style="medium">
        <color auto="1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9" fontId="25" fillId="0" borderId="0" applyFont="0" applyFill="0" applyBorder="0" applyAlignment="0" applyProtection="0"/>
  </cellStyleXfs>
  <cellXfs count="7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" fontId="3" fillId="3" borderId="10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164" fontId="0" fillId="3" borderId="11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164" fontId="0" fillId="3" borderId="14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" fontId="3" fillId="3" borderId="17" xfId="0" applyNumberFormat="1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 wrapText="1"/>
    </xf>
    <xf numFmtId="164" fontId="0" fillId="3" borderId="18" xfId="0" applyNumberFormat="1" applyFill="1" applyBorder="1" applyAlignment="1">
      <alignment horizontal="center" vertical="center"/>
    </xf>
    <xf numFmtId="164" fontId="0" fillId="3" borderId="19" xfId="0" applyNumberForma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 wrapText="1"/>
    </xf>
    <xf numFmtId="2" fontId="2" fillId="3" borderId="11" xfId="0" applyNumberFormat="1" applyFont="1" applyFill="1" applyBorder="1" applyAlignment="1">
      <alignment horizontal="center" vertical="center" wrapText="1"/>
    </xf>
    <xf numFmtId="165" fontId="0" fillId="3" borderId="11" xfId="0" applyNumberFormat="1" applyFill="1" applyBorder="1" applyAlignment="1">
      <alignment horizontal="center" vertical="center"/>
    </xf>
    <xf numFmtId="165" fontId="0" fillId="3" borderId="12" xfId="0" applyNumberForma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 wrapText="1"/>
    </xf>
    <xf numFmtId="165" fontId="0" fillId="3" borderId="20" xfId="0" applyNumberFormat="1" applyFill="1" applyBorder="1" applyAlignment="1">
      <alignment horizontal="center" vertical="center"/>
    </xf>
    <xf numFmtId="165" fontId="0" fillId="3" borderId="21" xfId="0" applyNumberFormat="1" applyFill="1" applyBorder="1" applyAlignment="1">
      <alignment horizontal="center" vertical="center"/>
    </xf>
    <xf numFmtId="1" fontId="3" fillId="3" borderId="22" xfId="0" applyNumberFormat="1" applyFont="1" applyFill="1" applyBorder="1" applyAlignment="1">
      <alignment horizontal="center" vertical="center" wrapText="1"/>
    </xf>
    <xf numFmtId="2" fontId="2" fillId="3" borderId="23" xfId="0" applyNumberFormat="1" applyFont="1" applyFill="1" applyBorder="1" applyAlignment="1">
      <alignment horizontal="center" vertical="center" wrapText="1"/>
    </xf>
    <xf numFmtId="165" fontId="0" fillId="3" borderId="23" xfId="0" applyNumberFormat="1" applyFill="1" applyBorder="1" applyAlignment="1">
      <alignment horizontal="center" vertical="center"/>
    </xf>
    <xf numFmtId="165" fontId="0" fillId="3" borderId="24" xfId="0" applyNumberForma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1" fontId="3" fillId="3" borderId="25" xfId="0" applyNumberFormat="1" applyFont="1" applyFill="1" applyBorder="1" applyAlignment="1">
      <alignment horizontal="center" vertical="center" wrapText="1"/>
    </xf>
    <xf numFmtId="166" fontId="2" fillId="3" borderId="11" xfId="0" applyNumberFormat="1" applyFont="1" applyFill="1" applyBorder="1" applyAlignment="1">
      <alignment horizontal="center" vertical="center" wrapText="1"/>
    </xf>
    <xf numFmtId="1" fontId="3" fillId="0" borderId="26" xfId="0" applyNumberFormat="1" applyFont="1" applyBorder="1" applyAlignment="1">
      <alignment horizontal="center" vertical="center" wrapText="1"/>
    </xf>
    <xf numFmtId="166" fontId="2" fillId="0" borderId="14" xfId="0" applyNumberFormat="1" applyFont="1" applyBorder="1" applyAlignment="1">
      <alignment horizontal="center" vertical="center" wrapText="1"/>
    </xf>
    <xf numFmtId="1" fontId="3" fillId="3" borderId="27" xfId="0" applyNumberFormat="1" applyFont="1" applyFill="1" applyBorder="1" applyAlignment="1">
      <alignment horizontal="center" vertical="center" wrapText="1"/>
    </xf>
    <xf numFmtId="166" fontId="2" fillId="3" borderId="18" xfId="0" applyNumberFormat="1" applyFont="1" applyFill="1" applyBorder="1" applyAlignment="1">
      <alignment horizontal="center" vertical="center" wrapText="1"/>
    </xf>
    <xf numFmtId="165" fontId="0" fillId="3" borderId="18" xfId="0" applyNumberFormat="1" applyFill="1" applyBorder="1" applyAlignment="1">
      <alignment horizontal="center" vertical="center"/>
    </xf>
    <xf numFmtId="165" fontId="0" fillId="3" borderId="19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9" fontId="2" fillId="0" borderId="11" xfId="0" applyNumberFormat="1" applyFont="1" applyBorder="1" applyAlignment="1">
      <alignment horizontal="center" vertical="center" wrapText="1"/>
    </xf>
    <xf numFmtId="1" fontId="3" fillId="7" borderId="13" xfId="0" applyNumberFormat="1" applyFont="1" applyFill="1" applyBorder="1" applyAlignment="1">
      <alignment horizontal="center" vertical="center" wrapText="1"/>
    </xf>
    <xf numFmtId="9" fontId="2" fillId="7" borderId="14" xfId="0" applyNumberFormat="1" applyFont="1" applyFill="1" applyBorder="1" applyAlignment="1">
      <alignment horizontal="center" vertical="center" wrapText="1"/>
    </xf>
    <xf numFmtId="164" fontId="0" fillId="7" borderId="14" xfId="0" applyNumberFormat="1" applyFill="1" applyBorder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9" fontId="2" fillId="0" borderId="14" xfId="0" applyNumberFormat="1" applyFont="1" applyBorder="1" applyAlignment="1">
      <alignment horizontal="center" vertical="center" wrapText="1"/>
    </xf>
    <xf numFmtId="9" fontId="2" fillId="0" borderId="18" xfId="0" applyNumberFormat="1" applyFon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" fontId="3" fillId="7" borderId="28" xfId="0" applyNumberFormat="1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1" fontId="0" fillId="7" borderId="11" xfId="0" applyNumberFormat="1" applyFill="1" applyBorder="1" applyAlignment="1">
      <alignment horizontal="center" vertical="center" wrapText="1"/>
    </xf>
    <xf numFmtId="1" fontId="0" fillId="7" borderId="12" xfId="0" applyNumberForma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0" fillId="0" borderId="20" xfId="0" applyNumberFormat="1" applyBorder="1" applyAlignment="1">
      <alignment horizontal="center" vertical="center" wrapText="1"/>
    </xf>
    <xf numFmtId="1" fontId="0" fillId="0" borderId="21" xfId="0" applyNumberFormat="1" applyBorder="1" applyAlignment="1">
      <alignment horizontal="center" vertical="center" wrapText="1"/>
    </xf>
    <xf numFmtId="1" fontId="0" fillId="3" borderId="29" xfId="0" applyNumberFormat="1" applyFill="1" applyBorder="1" applyAlignment="1">
      <alignment horizontal="center" vertical="center"/>
    </xf>
    <xf numFmtId="1" fontId="0" fillId="3" borderId="30" xfId="0" applyNumberForma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 wrapText="1"/>
    </xf>
    <xf numFmtId="1" fontId="0" fillId="0" borderId="15" xfId="0" applyNumberFormat="1" applyBorder="1" applyAlignment="1">
      <alignment horizontal="center" vertical="center" wrapText="1"/>
    </xf>
    <xf numFmtId="1" fontId="3" fillId="3" borderId="17" xfId="0" applyNumberFormat="1" applyFont="1" applyFill="1" applyBorder="1" applyAlignment="1">
      <alignment horizontal="center" vertical="center" wrapText="1"/>
    </xf>
    <xf numFmtId="1" fontId="0" fillId="3" borderId="18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3" fillId="0" borderId="28" xfId="0" applyNumberFormat="1" applyFont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 wrapText="1"/>
    </xf>
    <xf numFmtId="1" fontId="2" fillId="3" borderId="14" xfId="0" applyNumberFormat="1" applyFont="1" applyFill="1" applyBorder="1" applyAlignment="1">
      <alignment horizontal="center" vertical="center" wrapText="1"/>
    </xf>
    <xf numFmtId="1" fontId="2" fillId="8" borderId="14" xfId="0" applyNumberFormat="1" applyFont="1" applyFill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 wrapText="1"/>
    </xf>
    <xf numFmtId="9" fontId="2" fillId="8" borderId="11" xfId="0" applyNumberFormat="1" applyFont="1" applyFill="1" applyBorder="1" applyAlignment="1">
      <alignment horizontal="center" vertical="center" wrapText="1"/>
    </xf>
    <xf numFmtId="2" fontId="0" fillId="0" borderId="11" xfId="0" applyNumberFormat="1" applyBorder="1" applyAlignment="1">
      <alignment horizontal="center" vertical="center" wrapText="1"/>
    </xf>
    <xf numFmtId="2" fontId="0" fillId="0" borderId="12" xfId="0" applyNumberFormat="1" applyBorder="1" applyAlignment="1">
      <alignment horizontal="center" vertical="center" wrapText="1"/>
    </xf>
    <xf numFmtId="9" fontId="2" fillId="3" borderId="14" xfId="0" applyNumberFormat="1" applyFont="1" applyFill="1" applyBorder="1" applyAlignment="1">
      <alignment horizontal="center" vertical="center" wrapText="1"/>
    </xf>
    <xf numFmtId="2" fontId="0" fillId="3" borderId="29" xfId="0" applyNumberFormat="1" applyFill="1" applyBorder="1" applyAlignment="1">
      <alignment horizontal="center" vertical="center"/>
    </xf>
    <xf numFmtId="2" fontId="0" fillId="3" borderId="30" xfId="0" applyNumberFormat="1" applyFill="1" applyBorder="1" applyAlignment="1">
      <alignment horizontal="center" vertical="center"/>
    </xf>
    <xf numFmtId="9" fontId="2" fillId="8" borderId="20" xfId="0" applyNumberFormat="1" applyFont="1" applyFill="1" applyBorder="1" applyAlignment="1">
      <alignment horizontal="center" vertical="center" wrapText="1"/>
    </xf>
    <xf numFmtId="2" fontId="10" fillId="0" borderId="14" xfId="0" applyNumberFormat="1" applyFont="1" applyBorder="1" applyAlignment="1">
      <alignment horizontal="center" vertical="center" wrapText="1"/>
    </xf>
    <xf numFmtId="2" fontId="10" fillId="8" borderId="15" xfId="0" applyNumberFormat="1" applyFont="1" applyFill="1" applyBorder="1" applyAlignment="1">
      <alignment horizontal="center" vertical="center" wrapText="1"/>
    </xf>
    <xf numFmtId="9" fontId="2" fillId="8" borderId="18" xfId="0" applyNumberFormat="1" applyFont="1" applyFill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9" fontId="2" fillId="3" borderId="18" xfId="0" applyNumberFormat="1" applyFont="1" applyFill="1" applyBorder="1" applyAlignment="1">
      <alignment horizontal="center" vertical="center" wrapText="1"/>
    </xf>
    <xf numFmtId="2" fontId="0" fillId="3" borderId="18" xfId="0" applyNumberFormat="1" applyFill="1" applyBorder="1" applyAlignment="1">
      <alignment horizontal="center" vertical="center"/>
    </xf>
    <xf numFmtId="2" fontId="0" fillId="3" borderId="19" xfId="0" applyNumberForma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 wrapText="1"/>
    </xf>
    <xf numFmtId="0" fontId="2" fillId="8" borderId="32" xfId="0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1" fontId="3" fillId="3" borderId="28" xfId="0" applyNumberFormat="1" applyFont="1" applyFill="1" applyBorder="1" applyAlignment="1">
      <alignment horizontal="center" vertical="center" wrapText="1"/>
    </xf>
    <xf numFmtId="9" fontId="2" fillId="3" borderId="11" xfId="0" applyNumberFormat="1" applyFont="1" applyFill="1" applyBorder="1" applyAlignment="1">
      <alignment horizontal="center" vertical="center" wrapText="1"/>
    </xf>
    <xf numFmtId="2" fontId="0" fillId="3" borderId="11" xfId="0" applyNumberFormat="1" applyFill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6" xfId="0" applyBorder="1"/>
    <xf numFmtId="0" fontId="3" fillId="1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3" fillId="3" borderId="34" xfId="0" applyNumberFormat="1" applyFont="1" applyFill="1" applyBorder="1" applyAlignment="1">
      <alignment horizontal="center" vertical="center" wrapText="1"/>
    </xf>
    <xf numFmtId="9" fontId="2" fillId="3" borderId="35" xfId="0" applyNumberFormat="1" applyFont="1" applyFill="1" applyBorder="1" applyAlignment="1">
      <alignment horizontal="center" vertical="center" wrapText="1"/>
    </xf>
    <xf numFmtId="1" fontId="0" fillId="3" borderId="11" xfId="0" applyNumberFormat="1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3" fillId="0" borderId="36" xfId="0" applyNumberFormat="1" applyFont="1" applyBorder="1" applyAlignment="1">
      <alignment horizontal="center" vertical="center" wrapText="1"/>
    </xf>
    <xf numFmtId="9" fontId="2" fillId="8" borderId="37" xfId="0" applyNumberFormat="1" applyFont="1" applyFill="1" applyBorder="1" applyAlignment="1">
      <alignment horizontal="center" vertical="center" wrapText="1"/>
    </xf>
    <xf numFmtId="1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9" fontId="2" fillId="8" borderId="14" xfId="0" applyNumberFormat="1" applyFont="1" applyFill="1" applyBorder="1" applyAlignment="1">
      <alignment horizontal="center" vertical="center" wrapText="1"/>
    </xf>
    <xf numFmtId="1" fontId="3" fillId="3" borderId="38" xfId="0" applyNumberFormat="1" applyFont="1" applyFill="1" applyBorder="1" applyAlignment="1">
      <alignment horizontal="center" vertical="center" wrapText="1"/>
    </xf>
    <xf numFmtId="9" fontId="2" fillId="3" borderId="39" xfId="0" applyNumberFormat="1" applyFont="1" applyFill="1" applyBorder="1" applyAlignment="1">
      <alignment horizontal="center" vertical="center" wrapText="1"/>
    </xf>
    <xf numFmtId="1" fontId="3" fillId="3" borderId="16" xfId="0" applyNumberFormat="1" applyFont="1" applyFill="1" applyBorder="1" applyAlignment="1">
      <alignment horizontal="center" vertical="center" wrapText="1"/>
    </xf>
    <xf numFmtId="9" fontId="2" fillId="3" borderId="40" xfId="0" applyNumberFormat="1" applyFont="1" applyFill="1" applyBorder="1" applyAlignment="1">
      <alignment horizontal="center" vertical="center" wrapText="1"/>
    </xf>
    <xf numFmtId="1" fontId="0" fillId="3" borderId="23" xfId="0" applyNumberFormat="1" applyFill="1" applyBorder="1" applyAlignment="1">
      <alignment horizontal="center" vertical="center"/>
    </xf>
    <xf numFmtId="1" fontId="3" fillId="0" borderId="34" xfId="0" applyNumberFormat="1" applyFont="1" applyBorder="1" applyAlignment="1">
      <alignment horizontal="center" vertical="center" wrapText="1"/>
    </xf>
    <xf numFmtId="2" fontId="2" fillId="8" borderId="3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" fontId="3" fillId="3" borderId="36" xfId="0" applyNumberFormat="1" applyFont="1" applyFill="1" applyBorder="1" applyAlignment="1">
      <alignment horizontal="center" vertical="center" wrapText="1"/>
    </xf>
    <xf numFmtId="2" fontId="2" fillId="3" borderId="37" xfId="0" applyNumberFormat="1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1" fontId="3" fillId="0" borderId="41" xfId="0" applyNumberFormat="1" applyFont="1" applyBorder="1" applyAlignment="1">
      <alignment horizontal="center" vertical="center" wrapText="1"/>
    </xf>
    <xf numFmtId="2" fontId="2" fillId="8" borderId="42" xfId="0" applyNumberFormat="1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3" fillId="3" borderId="41" xfId="0" applyNumberFormat="1" applyFont="1" applyFill="1" applyBorder="1" applyAlignment="1">
      <alignment horizontal="center" vertical="center" wrapText="1"/>
    </xf>
    <xf numFmtId="9" fontId="2" fillId="3" borderId="42" xfId="0" applyNumberFormat="1" applyFont="1" applyFill="1" applyBorder="1" applyAlignment="1">
      <alignment horizontal="center" vertical="center" wrapText="1"/>
    </xf>
    <xf numFmtId="1" fontId="3" fillId="0" borderId="43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44" xfId="0" applyBorder="1"/>
    <xf numFmtId="0" fontId="0" fillId="0" borderId="45" xfId="0" applyBorder="1"/>
    <xf numFmtId="0" fontId="7" fillId="12" borderId="2" xfId="0" applyFont="1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 wrapText="1"/>
    </xf>
    <xf numFmtId="0" fontId="0" fillId="8" borderId="19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1" fontId="3" fillId="0" borderId="46" xfId="0" applyNumberFormat="1" applyFont="1" applyBorder="1" applyAlignment="1">
      <alignment horizontal="center" vertical="center" wrapText="1"/>
    </xf>
    <xf numFmtId="1" fontId="3" fillId="3" borderId="26" xfId="0" applyNumberFormat="1" applyFont="1" applyFill="1" applyBorder="1" applyAlignment="1">
      <alignment horizontal="center" vertical="center" wrapText="1"/>
    </xf>
    <xf numFmtId="0" fontId="0" fillId="14" borderId="0" xfId="0" applyFill="1"/>
    <xf numFmtId="164" fontId="0" fillId="0" borderId="14" xfId="0" applyNumberFormat="1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11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" fontId="3" fillId="0" borderId="47" xfId="0" applyNumberFormat="1" applyFont="1" applyBorder="1" applyAlignment="1">
      <alignment horizontal="center" vertical="center" wrapText="1"/>
    </xf>
    <xf numFmtId="9" fontId="2" fillId="0" borderId="23" xfId="0" applyNumberFormat="1" applyFon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1" fontId="3" fillId="0" borderId="25" xfId="0" applyNumberFormat="1" applyFont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2" fillId="0" borderId="18" xfId="0" applyNumberFormat="1" applyFont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164" fontId="2" fillId="3" borderId="18" xfId="0" applyNumberFormat="1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1" fontId="3" fillId="3" borderId="46" xfId="0" applyNumberFormat="1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 wrapText="1"/>
    </xf>
    <xf numFmtId="0" fontId="3" fillId="21" borderId="2" xfId="0" applyFont="1" applyFill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8" borderId="3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3" borderId="2" xfId="0" applyFont="1" applyFill="1" applyBorder="1" applyAlignment="1">
      <alignment horizontal="center" vertical="center" wrapText="1"/>
    </xf>
    <xf numFmtId="0" fontId="2" fillId="8" borderId="48" xfId="0" applyFont="1" applyFill="1" applyBorder="1" applyAlignment="1">
      <alignment horizontal="center" vertical="center" wrapText="1"/>
    </xf>
    <xf numFmtId="2" fontId="0" fillId="0" borderId="32" xfId="0" applyNumberForma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3" fillId="24" borderId="2" xfId="0" applyFont="1" applyFill="1" applyBorder="1" applyAlignment="1">
      <alignment horizontal="center" vertical="center" wrapText="1"/>
    </xf>
    <xf numFmtId="0" fontId="3" fillId="25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26" borderId="2" xfId="0" applyFont="1" applyFill="1" applyBorder="1" applyAlignment="1">
      <alignment horizontal="center" vertical="center" wrapText="1"/>
    </xf>
    <xf numFmtId="0" fontId="3" fillId="27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1" fillId="0" borderId="45" xfId="0" applyFont="1" applyBorder="1" applyAlignment="1">
      <alignment vertical="center" wrapText="1"/>
    </xf>
    <xf numFmtId="0" fontId="7" fillId="28" borderId="5" xfId="0" applyFont="1" applyFill="1" applyBorder="1" applyAlignment="1">
      <alignment horizontal="center" vertical="center" wrapText="1"/>
    </xf>
    <xf numFmtId="0" fontId="7" fillId="29" borderId="5" xfId="0" applyFont="1" applyFill="1" applyBorder="1" applyAlignment="1">
      <alignment horizontal="center" vertical="center" wrapText="1"/>
    </xf>
    <xf numFmtId="164" fontId="0" fillId="3" borderId="29" xfId="0" applyNumberFormat="1" applyFill="1" applyBorder="1" applyAlignment="1">
      <alignment horizontal="center" vertical="center"/>
    </xf>
    <xf numFmtId="1" fontId="0" fillId="3" borderId="14" xfId="0" applyNumberFormat="1" applyFill="1" applyBorder="1" applyAlignment="1">
      <alignment horizontal="center" vertical="center"/>
    </xf>
    <xf numFmtId="1" fontId="0" fillId="3" borderId="15" xfId="0" applyNumberFormat="1" applyFill="1" applyBorder="1" applyAlignment="1">
      <alignment horizontal="center" vertical="center"/>
    </xf>
    <xf numFmtId="1" fontId="2" fillId="8" borderId="23" xfId="0" applyNumberFormat="1" applyFont="1" applyFill="1" applyBorder="1" applyAlignment="1">
      <alignment horizontal="center" vertical="center" wrapText="1"/>
    </xf>
    <xf numFmtId="1" fontId="0" fillId="0" borderId="23" xfId="0" applyNumberFormat="1" applyBorder="1" applyAlignment="1">
      <alignment horizontal="center" vertical="center" wrapText="1"/>
    </xf>
    <xf numFmtId="1" fontId="0" fillId="0" borderId="24" xfId="0" applyNumberFormat="1" applyBorder="1" applyAlignment="1">
      <alignment horizontal="center" vertical="center" wrapText="1"/>
    </xf>
    <xf numFmtId="164" fontId="0" fillId="3" borderId="30" xfId="0" applyNumberForma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 wrapText="1"/>
    </xf>
    <xf numFmtId="164" fontId="2" fillId="8" borderId="11" xfId="0" applyNumberFormat="1" applyFont="1" applyFill="1" applyBorder="1" applyAlignment="1">
      <alignment horizontal="center" vertical="center" wrapText="1"/>
    </xf>
    <xf numFmtId="164" fontId="2" fillId="8" borderId="18" xfId="0" applyNumberFormat="1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7" fillId="30" borderId="5" xfId="0" applyFont="1" applyFill="1" applyBorder="1" applyAlignment="1">
      <alignment horizontal="center" vertical="center" wrapText="1"/>
    </xf>
    <xf numFmtId="0" fontId="7" fillId="31" borderId="5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164" fontId="2" fillId="3" borderId="12" xfId="0" applyNumberFormat="1" applyFont="1" applyFill="1" applyBorder="1" applyAlignment="1">
      <alignment horizontal="center" vertical="center" wrapText="1"/>
    </xf>
    <xf numFmtId="164" fontId="2" fillId="0" borderId="15" xfId="0" applyNumberFormat="1" applyFont="1" applyBorder="1" applyAlignment="1">
      <alignment horizontal="center" vertical="center" wrapText="1"/>
    </xf>
    <xf numFmtId="164" fontId="2" fillId="3" borderId="19" xfId="0" applyNumberFormat="1" applyFont="1" applyFill="1" applyBorder="1" applyAlignment="1">
      <alignment horizontal="center" vertical="center" wrapText="1"/>
    </xf>
    <xf numFmtId="0" fontId="7" fillId="32" borderId="5" xfId="0" applyFont="1" applyFill="1" applyBorder="1" applyAlignment="1">
      <alignment horizontal="center" vertical="center" wrapText="1"/>
    </xf>
    <xf numFmtId="0" fontId="0" fillId="24" borderId="0" xfId="0" applyFill="1"/>
    <xf numFmtId="0" fontId="7" fillId="33" borderId="5" xfId="0" applyFont="1" applyFill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9" fontId="2" fillId="0" borderId="20" xfId="0" applyNumberFormat="1" applyFont="1" applyBorder="1" applyAlignment="1">
      <alignment horizontal="center" vertical="center" wrapText="1"/>
    </xf>
    <xf numFmtId="1" fontId="4" fillId="3" borderId="13" xfId="0" applyNumberFormat="1" applyFont="1" applyFill="1" applyBorder="1" applyAlignment="1">
      <alignment horizontal="center" vertical="center" wrapText="1"/>
    </xf>
    <xf numFmtId="1" fontId="4" fillId="0" borderId="17" xfId="0" applyNumberFormat="1" applyFont="1" applyBorder="1" applyAlignment="1">
      <alignment horizontal="center" vertical="center" wrapText="1"/>
    </xf>
    <xf numFmtId="1" fontId="4" fillId="0" borderId="44" xfId="0" applyNumberFormat="1" applyFont="1" applyBorder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1" fontId="4" fillId="3" borderId="46" xfId="0" applyNumberFormat="1" applyFont="1" applyFill="1" applyBorder="1" applyAlignment="1">
      <alignment horizontal="center" vertical="center" wrapText="1"/>
    </xf>
    <xf numFmtId="9" fontId="2" fillId="3" borderId="20" xfId="0" applyNumberFormat="1" applyFont="1" applyFill="1" applyBorder="1" applyAlignment="1">
      <alignment horizontal="center" vertical="center" wrapText="1"/>
    </xf>
    <xf numFmtId="1" fontId="4" fillId="0" borderId="46" xfId="0" applyNumberFormat="1" applyFont="1" applyBorder="1" applyAlignment="1">
      <alignment horizontal="center" vertical="center" wrapText="1"/>
    </xf>
    <xf numFmtId="1" fontId="4" fillId="3" borderId="47" xfId="0" applyNumberFormat="1" applyFont="1" applyFill="1" applyBorder="1" applyAlignment="1">
      <alignment horizontal="center" vertical="center" wrapText="1"/>
    </xf>
    <xf numFmtId="9" fontId="2" fillId="3" borderId="23" xfId="0" applyNumberFormat="1" applyFont="1" applyFill="1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1" fontId="3" fillId="34" borderId="17" xfId="0" applyNumberFormat="1" applyFont="1" applyFill="1" applyBorder="1" applyAlignment="1">
      <alignment horizontal="center" vertical="center" wrapText="1"/>
    </xf>
    <xf numFmtId="9" fontId="2" fillId="34" borderId="18" xfId="0" applyNumberFormat="1" applyFont="1" applyFill="1" applyBorder="1" applyAlignment="1">
      <alignment horizontal="center" vertical="center" wrapText="1"/>
    </xf>
    <xf numFmtId="2" fontId="0" fillId="34" borderId="18" xfId="0" applyNumberFormat="1" applyFill="1" applyBorder="1" applyAlignment="1">
      <alignment horizontal="center" vertical="center" wrapText="1"/>
    </xf>
    <xf numFmtId="2" fontId="0" fillId="34" borderId="19" xfId="0" applyNumberFormat="1" applyFill="1" applyBorder="1" applyAlignment="1">
      <alignment horizontal="center" vertical="center" wrapText="1"/>
    </xf>
    <xf numFmtId="1" fontId="3" fillId="3" borderId="11" xfId="0" applyNumberFormat="1" applyFont="1" applyFill="1" applyBorder="1" applyAlignment="1">
      <alignment horizontal="center" vertical="center" wrapText="1"/>
    </xf>
    <xf numFmtId="1" fontId="0" fillId="0" borderId="19" xfId="0" applyNumberFormat="1" applyBorder="1" applyAlignment="1">
      <alignment horizontal="center" vertical="center"/>
    </xf>
    <xf numFmtId="0" fontId="3" fillId="22" borderId="5" xfId="0" applyFont="1" applyFill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0" fillId="8" borderId="18" xfId="0" applyNumberForma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3" fillId="36" borderId="5" xfId="0" applyFont="1" applyFill="1" applyBorder="1" applyAlignment="1">
      <alignment horizontal="center" vertical="center" wrapText="1"/>
    </xf>
    <xf numFmtId="2" fontId="2" fillId="34" borderId="14" xfId="0" applyNumberFormat="1" applyFont="1" applyFill="1" applyBorder="1" applyAlignment="1">
      <alignment horizontal="center" vertical="center" wrapText="1"/>
    </xf>
    <xf numFmtId="2" fontId="2" fillId="8" borderId="11" xfId="0" applyNumberFormat="1" applyFont="1" applyFill="1" applyBorder="1" applyAlignment="1">
      <alignment horizontal="center" vertical="center" wrapText="1"/>
    </xf>
    <xf numFmtId="1" fontId="3" fillId="34" borderId="13" xfId="0" applyNumberFormat="1" applyFont="1" applyFill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1" fontId="3" fillId="3" borderId="14" xfId="0" applyNumberFormat="1" applyFont="1" applyFill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1" fontId="3" fillId="34" borderId="10" xfId="0" applyNumberFormat="1" applyFont="1" applyFill="1" applyBorder="1" applyAlignment="1">
      <alignment horizontal="center" vertical="center" wrapText="1"/>
    </xf>
    <xf numFmtId="9" fontId="2" fillId="34" borderId="11" xfId="0" applyNumberFormat="1" applyFont="1" applyFill="1" applyBorder="1" applyAlignment="1">
      <alignment horizontal="center" vertical="center" wrapText="1"/>
    </xf>
    <xf numFmtId="164" fontId="0" fillId="34" borderId="14" xfId="0" applyNumberFormat="1" applyFill="1" applyBorder="1" applyAlignment="1">
      <alignment horizontal="center" vertical="center"/>
    </xf>
    <xf numFmtId="164" fontId="0" fillId="34" borderId="15" xfId="0" applyNumberFormat="1" applyFill="1" applyBorder="1" applyAlignment="1">
      <alignment horizontal="center" vertical="center"/>
    </xf>
    <xf numFmtId="1" fontId="3" fillId="8" borderId="13" xfId="0" applyNumberFormat="1" applyFont="1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/>
    </xf>
    <xf numFmtId="164" fontId="0" fillId="8" borderId="15" xfId="0" applyNumberFormat="1" applyFill="1" applyBorder="1" applyAlignment="1">
      <alignment horizontal="center" vertical="center"/>
    </xf>
    <xf numFmtId="0" fontId="2" fillId="8" borderId="42" xfId="0" applyFont="1" applyFill="1" applyBorder="1" applyAlignment="1">
      <alignment horizontal="center" vertical="center" wrapText="1"/>
    </xf>
    <xf numFmtId="1" fontId="3" fillId="34" borderId="36" xfId="0" applyNumberFormat="1" applyFont="1" applyFill="1" applyBorder="1" applyAlignment="1">
      <alignment horizontal="center" vertical="center" wrapText="1"/>
    </xf>
    <xf numFmtId="0" fontId="2" fillId="34" borderId="3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" fontId="0" fillId="0" borderId="29" xfId="0" applyNumberFormat="1" applyBorder="1" applyAlignment="1">
      <alignment horizontal="center" vertical="center"/>
    </xf>
    <xf numFmtId="1" fontId="0" fillId="0" borderId="30" xfId="0" applyNumberFormat="1" applyBorder="1" applyAlignment="1">
      <alignment horizontal="center" vertical="center"/>
    </xf>
    <xf numFmtId="0" fontId="2" fillId="34" borderId="20" xfId="0" applyFont="1" applyFill="1" applyBorder="1" applyAlignment="1">
      <alignment horizontal="center" vertical="center" wrapText="1"/>
    </xf>
    <xf numFmtId="1" fontId="0" fillId="34" borderId="20" xfId="0" applyNumberFormat="1" applyFill="1" applyBorder="1" applyAlignment="1">
      <alignment horizontal="center" vertical="center" wrapText="1"/>
    </xf>
    <xf numFmtId="1" fontId="0" fillId="34" borderId="21" xfId="0" applyNumberFormat="1" applyFill="1" applyBorder="1" applyAlignment="1">
      <alignment horizontal="center" vertical="center" wrapText="1"/>
    </xf>
    <xf numFmtId="1" fontId="2" fillId="0" borderId="18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/>
    </xf>
    <xf numFmtId="1" fontId="2" fillId="0" borderId="14" xfId="0" applyNumberFormat="1" applyFont="1" applyBorder="1" applyAlignment="1">
      <alignment horizontal="center" vertical="center" wrapText="1"/>
    </xf>
    <xf numFmtId="1" fontId="3" fillId="34" borderId="28" xfId="0" applyNumberFormat="1" applyFont="1" applyFill="1" applyBorder="1" applyAlignment="1">
      <alignment horizontal="center" vertical="center" wrapText="1"/>
    </xf>
    <xf numFmtId="0" fontId="2" fillId="34" borderId="11" xfId="0" applyFont="1" applyFill="1" applyBorder="1" applyAlignment="1">
      <alignment horizontal="center" vertical="center" wrapText="1"/>
    </xf>
    <xf numFmtId="1" fontId="0" fillId="34" borderId="11" xfId="0" applyNumberFormat="1" applyFill="1" applyBorder="1" applyAlignment="1">
      <alignment horizontal="center" vertical="center" wrapText="1"/>
    </xf>
    <xf numFmtId="1" fontId="0" fillId="34" borderId="12" xfId="0" applyNumberFormat="1" applyFill="1" applyBorder="1" applyAlignment="1">
      <alignment horizontal="center" vertical="center" wrapText="1"/>
    </xf>
    <xf numFmtId="1" fontId="2" fillId="34" borderId="14" xfId="0" applyNumberFormat="1" applyFont="1" applyFill="1" applyBorder="1" applyAlignment="1">
      <alignment horizontal="center" vertical="center" wrapText="1"/>
    </xf>
    <xf numFmtId="1" fontId="0" fillId="34" borderId="14" xfId="0" applyNumberFormat="1" applyFill="1" applyBorder="1" applyAlignment="1">
      <alignment horizontal="center" vertical="center" wrapText="1"/>
    </xf>
    <xf numFmtId="1" fontId="0" fillId="34" borderId="15" xfId="0" applyNumberForma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1" fontId="3" fillId="34" borderId="41" xfId="0" applyNumberFormat="1" applyFont="1" applyFill="1" applyBorder="1" applyAlignment="1">
      <alignment horizontal="center" vertical="center" wrapText="1"/>
    </xf>
    <xf numFmtId="0" fontId="4" fillId="34" borderId="42" xfId="0" applyFont="1" applyFill="1" applyBorder="1" applyAlignment="1">
      <alignment horizontal="center" vertical="center" wrapText="1"/>
    </xf>
    <xf numFmtId="164" fontId="0" fillId="34" borderId="18" xfId="0" applyNumberFormat="1" applyFill="1" applyBorder="1" applyAlignment="1">
      <alignment horizontal="center" vertical="center"/>
    </xf>
    <xf numFmtId="164" fontId="0" fillId="34" borderId="19" xfId="0" applyNumberFormat="1" applyFill="1" applyBorder="1" applyAlignment="1">
      <alignment horizontal="center" vertical="center"/>
    </xf>
    <xf numFmtId="0" fontId="4" fillId="34" borderId="35" xfId="0" applyFont="1" applyFill="1" applyBorder="1" applyAlignment="1">
      <alignment horizontal="center" vertical="center" wrapText="1"/>
    </xf>
    <xf numFmtId="1" fontId="0" fillId="8" borderId="29" xfId="0" applyNumberFormat="1" applyFill="1" applyBorder="1" applyAlignment="1">
      <alignment horizontal="center" vertical="center"/>
    </xf>
    <xf numFmtId="1" fontId="0" fillId="8" borderId="30" xfId="0" applyNumberFormat="1" applyFill="1" applyBorder="1" applyAlignment="1">
      <alignment horizontal="center" vertical="center"/>
    </xf>
    <xf numFmtId="1" fontId="2" fillId="34" borderId="18" xfId="0" applyNumberFormat="1" applyFont="1" applyFill="1" applyBorder="1" applyAlignment="1">
      <alignment horizontal="center" vertical="center" wrapText="1"/>
    </xf>
    <xf numFmtId="1" fontId="0" fillId="34" borderId="18" xfId="0" applyNumberFormat="1" applyFill="1" applyBorder="1" applyAlignment="1">
      <alignment horizontal="center" vertical="center"/>
    </xf>
    <xf numFmtId="1" fontId="0" fillId="34" borderId="19" xfId="0" applyNumberFormat="1" applyFill="1" applyBorder="1" applyAlignment="1">
      <alignment horizontal="center" vertical="center"/>
    </xf>
    <xf numFmtId="1" fontId="3" fillId="34" borderId="26" xfId="0" applyNumberFormat="1" applyFont="1" applyFill="1" applyBorder="1" applyAlignment="1">
      <alignment horizontal="center" vertical="center" wrapText="1"/>
    </xf>
    <xf numFmtId="164" fontId="0" fillId="34" borderId="20" xfId="0" applyNumberFormat="1" applyFill="1" applyBorder="1" applyAlignment="1">
      <alignment horizontal="center" vertical="center"/>
    </xf>
    <xf numFmtId="0" fontId="7" fillId="28" borderId="2" xfId="0" applyFont="1" applyFill="1" applyBorder="1" applyAlignment="1">
      <alignment horizontal="center" vertical="center" wrapText="1"/>
    </xf>
    <xf numFmtId="164" fontId="0" fillId="34" borderId="21" xfId="0" applyNumberFormat="1" applyFill="1" applyBorder="1" applyAlignment="1">
      <alignment horizontal="center" vertical="center"/>
    </xf>
    <xf numFmtId="1" fontId="0" fillId="34" borderId="18" xfId="0" applyNumberFormat="1" applyFill="1" applyBorder="1" applyAlignment="1">
      <alignment horizontal="center" vertical="center" wrapText="1"/>
    </xf>
    <xf numFmtId="1" fontId="0" fillId="34" borderId="19" xfId="0" applyNumberFormat="1" applyFill="1" applyBorder="1" applyAlignment="1">
      <alignment horizontal="center" vertical="center" wrapText="1"/>
    </xf>
    <xf numFmtId="164" fontId="0" fillId="34" borderId="11" xfId="0" applyNumberFormat="1" applyFill="1" applyBorder="1" applyAlignment="1">
      <alignment horizontal="center" vertical="center"/>
    </xf>
    <xf numFmtId="164" fontId="0" fillId="34" borderId="12" xfId="0" applyNumberFormat="1" applyFill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2" fillId="34" borderId="14" xfId="0" applyNumberFormat="1" applyFont="1" applyFill="1" applyBorder="1" applyAlignment="1">
      <alignment horizontal="center" vertical="center" wrapText="1"/>
    </xf>
    <xf numFmtId="164" fontId="2" fillId="34" borderId="18" xfId="0" applyNumberFormat="1" applyFont="1" applyFill="1" applyBorder="1" applyAlignment="1">
      <alignment horizontal="center" vertical="center" wrapText="1"/>
    </xf>
    <xf numFmtId="1" fontId="3" fillId="8" borderId="28" xfId="0" applyNumberFormat="1" applyFont="1" applyFill="1" applyBorder="1" applyAlignment="1">
      <alignment horizontal="center" vertical="center" wrapText="1"/>
    </xf>
    <xf numFmtId="164" fontId="0" fillId="8" borderId="11" xfId="0" applyNumberFormat="1" applyFill="1" applyBorder="1" applyAlignment="1">
      <alignment horizontal="center" vertical="center"/>
    </xf>
    <xf numFmtId="164" fontId="0" fillId="8" borderId="12" xfId="0" applyNumberFormat="1" applyFill="1" applyBorder="1" applyAlignment="1">
      <alignment horizontal="center" vertical="center"/>
    </xf>
    <xf numFmtId="164" fontId="2" fillId="8" borderId="14" xfId="0" applyNumberFormat="1" applyFont="1" applyFill="1" applyBorder="1" applyAlignment="1">
      <alignment horizontal="center" vertical="center" wrapText="1"/>
    </xf>
    <xf numFmtId="1" fontId="3" fillId="34" borderId="27" xfId="0" applyNumberFormat="1" applyFont="1" applyFill="1" applyBorder="1" applyAlignment="1">
      <alignment horizontal="center" vertical="center" wrapText="1"/>
    </xf>
    <xf numFmtId="1" fontId="3" fillId="8" borderId="46" xfId="0" applyNumberFormat="1" applyFont="1" applyFill="1" applyBorder="1" applyAlignment="1">
      <alignment horizontal="center" vertical="center" wrapText="1"/>
    </xf>
    <xf numFmtId="1" fontId="3" fillId="8" borderId="27" xfId="0" applyNumberFormat="1" applyFont="1" applyFill="1" applyBorder="1" applyAlignment="1">
      <alignment horizontal="center" vertical="center" wrapText="1"/>
    </xf>
    <xf numFmtId="164" fontId="0" fillId="8" borderId="18" xfId="0" applyNumberFormat="1" applyFill="1" applyBorder="1" applyAlignment="1">
      <alignment horizontal="center" vertical="center"/>
    </xf>
    <xf numFmtId="164" fontId="0" fillId="8" borderId="19" xfId="0" applyNumberFormat="1" applyFill="1" applyBorder="1" applyAlignment="1">
      <alignment horizontal="center" vertical="center"/>
    </xf>
    <xf numFmtId="2" fontId="0" fillId="34" borderId="11" xfId="0" applyNumberFormat="1" applyFill="1" applyBorder="1" applyAlignment="1">
      <alignment horizontal="center" vertical="center"/>
    </xf>
    <xf numFmtId="2" fontId="0" fillId="34" borderId="12" xfId="0" applyNumberFormat="1" applyFill="1" applyBorder="1" applyAlignment="1">
      <alignment horizontal="center" vertical="center"/>
    </xf>
    <xf numFmtId="2" fontId="0" fillId="34" borderId="14" xfId="0" applyNumberFormat="1" applyFill="1" applyBorder="1" applyAlignment="1">
      <alignment horizontal="center" vertical="center"/>
    </xf>
    <xf numFmtId="2" fontId="0" fillId="34" borderId="15" xfId="0" applyNumberFormat="1" applyFill="1" applyBorder="1" applyAlignment="1">
      <alignment horizontal="center" vertical="center"/>
    </xf>
    <xf numFmtId="2" fontId="0" fillId="34" borderId="18" xfId="0" applyNumberFormat="1" applyFill="1" applyBorder="1" applyAlignment="1">
      <alignment horizontal="center" vertical="center"/>
    </xf>
    <xf numFmtId="2" fontId="0" fillId="34" borderId="19" xfId="0" applyNumberFormat="1" applyFill="1" applyBorder="1" applyAlignment="1">
      <alignment horizontal="center" vertical="center"/>
    </xf>
    <xf numFmtId="1" fontId="3" fillId="8" borderId="34" xfId="0" applyNumberFormat="1" applyFont="1" applyFill="1" applyBorder="1" applyAlignment="1">
      <alignment horizontal="center" vertical="center" wrapText="1"/>
    </xf>
    <xf numFmtId="0" fontId="2" fillId="8" borderId="35" xfId="0" applyFont="1" applyFill="1" applyBorder="1" applyAlignment="1">
      <alignment horizontal="center" vertical="center" wrapText="1"/>
    </xf>
    <xf numFmtId="2" fontId="0" fillId="8" borderId="11" xfId="0" applyNumberFormat="1" applyFill="1" applyBorder="1" applyAlignment="1">
      <alignment horizontal="center" vertical="center"/>
    </xf>
    <xf numFmtId="2" fontId="0" fillId="8" borderId="12" xfId="0" applyNumberFormat="1" applyFill="1" applyBorder="1" applyAlignment="1">
      <alignment horizontal="center" vertical="center"/>
    </xf>
    <xf numFmtId="1" fontId="3" fillId="8" borderId="41" xfId="0" applyNumberFormat="1" applyFont="1" applyFill="1" applyBorder="1" applyAlignment="1">
      <alignment horizontal="center" vertical="center" wrapText="1"/>
    </xf>
    <xf numFmtId="2" fontId="0" fillId="8" borderId="18" xfId="0" applyNumberFormat="1" applyFill="1" applyBorder="1" applyAlignment="1">
      <alignment horizontal="center" vertical="center"/>
    </xf>
    <xf numFmtId="2" fontId="0" fillId="8" borderId="19" xfId="0" applyNumberFormat="1" applyFill="1" applyBorder="1" applyAlignment="1">
      <alignment horizontal="center" vertical="center"/>
    </xf>
    <xf numFmtId="1" fontId="3" fillId="34" borderId="43" xfId="0" applyNumberFormat="1" applyFont="1" applyFill="1" applyBorder="1" applyAlignment="1">
      <alignment horizontal="center" vertical="center" wrapText="1"/>
    </xf>
    <xf numFmtId="0" fontId="2" fillId="34" borderId="49" xfId="0" applyFont="1" applyFill="1" applyBorder="1" applyAlignment="1">
      <alignment horizontal="center" vertical="center" wrapText="1"/>
    </xf>
    <xf numFmtId="2" fontId="0" fillId="34" borderId="20" xfId="0" applyNumberFormat="1" applyFill="1" applyBorder="1" applyAlignment="1">
      <alignment horizontal="center" vertical="center" wrapText="1"/>
    </xf>
    <xf numFmtId="2" fontId="0" fillId="34" borderId="21" xfId="0" applyNumberFormat="1" applyFill="1" applyBorder="1" applyAlignment="1">
      <alignment horizontal="center" vertical="center" wrapText="1"/>
    </xf>
    <xf numFmtId="2" fontId="0" fillId="8" borderId="14" xfId="0" applyNumberFormat="1" applyFill="1" applyBorder="1" applyAlignment="1">
      <alignment horizontal="center" vertical="center"/>
    </xf>
    <xf numFmtId="2" fontId="0" fillId="8" borderId="15" xfId="0" applyNumberFormat="1" applyFill="1" applyBorder="1" applyAlignment="1">
      <alignment horizontal="center" vertical="center"/>
    </xf>
    <xf numFmtId="2" fontId="0" fillId="8" borderId="18" xfId="0" applyNumberFormat="1" applyFill="1" applyBorder="1" applyAlignment="1">
      <alignment horizontal="center" vertical="center" wrapText="1"/>
    </xf>
    <xf numFmtId="2" fontId="0" fillId="8" borderId="19" xfId="0" applyNumberFormat="1" applyFill="1" applyBorder="1" applyAlignment="1">
      <alignment horizontal="center" vertical="center" wrapText="1"/>
    </xf>
    <xf numFmtId="164" fontId="2" fillId="34" borderId="12" xfId="0" applyNumberFormat="1" applyFont="1" applyFill="1" applyBorder="1" applyAlignment="1">
      <alignment horizontal="center" vertical="center" wrapText="1"/>
    </xf>
    <xf numFmtId="164" fontId="2" fillId="34" borderId="15" xfId="0" applyNumberFormat="1" applyFont="1" applyFill="1" applyBorder="1" applyAlignment="1">
      <alignment horizontal="center" vertical="center" wrapText="1"/>
    </xf>
    <xf numFmtId="164" fontId="2" fillId="34" borderId="19" xfId="0" applyNumberFormat="1" applyFont="1" applyFill="1" applyBorder="1" applyAlignment="1">
      <alignment horizontal="center" vertical="center" wrapText="1"/>
    </xf>
    <xf numFmtId="1" fontId="3" fillId="34" borderId="25" xfId="0" applyNumberFormat="1" applyFont="1" applyFill="1" applyBorder="1" applyAlignment="1">
      <alignment horizontal="center" vertical="center" wrapText="1"/>
    </xf>
    <xf numFmtId="1" fontId="2" fillId="34" borderId="12" xfId="1" applyNumberFormat="1" applyFont="1" applyFill="1" applyBorder="1" applyAlignment="1" applyProtection="1">
      <alignment horizontal="center" vertical="center" wrapText="1"/>
    </xf>
    <xf numFmtId="1" fontId="2" fillId="34" borderId="19" xfId="1" applyNumberFormat="1" applyFont="1" applyFill="1" applyBorder="1" applyAlignment="1" applyProtection="1">
      <alignment horizontal="center" vertical="center" wrapText="1"/>
    </xf>
    <xf numFmtId="164" fontId="2" fillId="8" borderId="12" xfId="0" applyNumberFormat="1" applyFont="1" applyFill="1" applyBorder="1" applyAlignment="1">
      <alignment horizontal="center" vertical="center" wrapText="1"/>
    </xf>
    <xf numFmtId="1" fontId="3" fillId="8" borderId="17" xfId="0" applyNumberFormat="1" applyFont="1" applyFill="1" applyBorder="1" applyAlignment="1">
      <alignment horizontal="center" vertical="center" wrapText="1"/>
    </xf>
    <xf numFmtId="164" fontId="2" fillId="8" borderId="19" xfId="0" applyNumberFormat="1" applyFont="1" applyFill="1" applyBorder="1" applyAlignment="1">
      <alignment horizontal="center" vertical="center" wrapText="1"/>
    </xf>
    <xf numFmtId="1" fontId="3" fillId="8" borderId="26" xfId="0" applyNumberFormat="1" applyFont="1" applyFill="1" applyBorder="1" applyAlignment="1">
      <alignment horizontal="center" vertical="center" wrapText="1"/>
    </xf>
    <xf numFmtId="1" fontId="2" fillId="8" borderId="15" xfId="1" applyNumberFormat="1" applyFont="1" applyFill="1" applyBorder="1" applyAlignment="1" applyProtection="1">
      <alignment horizontal="center" vertical="center" wrapText="1"/>
    </xf>
    <xf numFmtId="1" fontId="3" fillId="8" borderId="25" xfId="0" applyNumberFormat="1" applyFont="1" applyFill="1" applyBorder="1" applyAlignment="1">
      <alignment horizontal="center" vertical="center" wrapText="1"/>
    </xf>
    <xf numFmtId="166" fontId="2" fillId="34" borderId="11" xfId="0" applyNumberFormat="1" applyFont="1" applyFill="1" applyBorder="1" applyAlignment="1">
      <alignment horizontal="center" vertical="center" wrapText="1"/>
    </xf>
    <xf numFmtId="166" fontId="2" fillId="34" borderId="14" xfId="0" applyNumberFormat="1" applyFont="1" applyFill="1" applyBorder="1" applyAlignment="1">
      <alignment horizontal="center" vertical="center" wrapText="1"/>
    </xf>
    <xf numFmtId="166" fontId="2" fillId="34" borderId="18" xfId="0" applyNumberFormat="1" applyFont="1" applyFill="1" applyBorder="1" applyAlignment="1">
      <alignment horizontal="center" vertical="center" wrapText="1"/>
    </xf>
    <xf numFmtId="166" fontId="2" fillId="8" borderId="14" xfId="0" applyNumberFormat="1" applyFont="1" applyFill="1" applyBorder="1" applyAlignment="1">
      <alignment horizontal="center" vertical="center" wrapText="1"/>
    </xf>
    <xf numFmtId="166" fontId="2" fillId="8" borderId="11" xfId="0" applyNumberFormat="1" applyFont="1" applyFill="1" applyBorder="1" applyAlignment="1">
      <alignment horizontal="center" vertical="center" wrapText="1"/>
    </xf>
    <xf numFmtId="1" fontId="3" fillId="8" borderId="50" xfId="0" applyNumberFormat="1" applyFont="1" applyFill="1" applyBorder="1" applyAlignment="1">
      <alignment horizontal="center" vertical="center" wrapText="1"/>
    </xf>
    <xf numFmtId="166" fontId="2" fillId="8" borderId="29" xfId="0" applyNumberFormat="1" applyFont="1" applyFill="1" applyBorder="1" applyAlignment="1">
      <alignment horizontal="center" vertical="center" wrapText="1"/>
    </xf>
    <xf numFmtId="164" fontId="0" fillId="8" borderId="29" xfId="0" applyNumberFormat="1" applyFill="1" applyBorder="1" applyAlignment="1">
      <alignment horizontal="center" vertical="center"/>
    </xf>
    <xf numFmtId="164" fontId="0" fillId="8" borderId="30" xfId="0" applyNumberFormat="1" applyFill="1" applyBorder="1" applyAlignment="1">
      <alignment horizontal="center" vertical="center"/>
    </xf>
    <xf numFmtId="166" fontId="2" fillId="8" borderId="18" xfId="0" applyNumberFormat="1" applyFont="1" applyFill="1" applyBorder="1" applyAlignment="1">
      <alignment horizontal="center" vertical="center" wrapText="1"/>
    </xf>
    <xf numFmtId="9" fontId="2" fillId="34" borderId="14" xfId="0" applyNumberFormat="1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8" fillId="0" borderId="51" xfId="0" applyFont="1" applyBorder="1" applyAlignment="1">
      <alignment horizontal="center" vertical="center"/>
    </xf>
    <xf numFmtId="0" fontId="7" fillId="21" borderId="5" xfId="0" applyFont="1" applyFill="1" applyBorder="1" applyAlignment="1">
      <alignment horizontal="center" vertical="center" wrapText="1"/>
    </xf>
    <xf numFmtId="0" fontId="7" fillId="37" borderId="5" xfId="0" applyFont="1" applyFill="1" applyBorder="1" applyAlignment="1">
      <alignment horizontal="center" vertical="center" wrapText="1"/>
    </xf>
    <xf numFmtId="0" fontId="7" fillId="38" borderId="5" xfId="0" applyFont="1" applyFill="1" applyBorder="1" applyAlignment="1">
      <alignment horizontal="center" vertical="center" wrapText="1"/>
    </xf>
    <xf numFmtId="164" fontId="0" fillId="34" borderId="11" xfId="0" applyNumberFormat="1" applyFill="1" applyBorder="1" applyAlignment="1">
      <alignment horizontal="center" vertical="center" wrapText="1"/>
    </xf>
    <xf numFmtId="164" fontId="0" fillId="34" borderId="12" xfId="0" applyNumberFormat="1" applyFill="1" applyBorder="1" applyAlignment="1">
      <alignment horizontal="center" vertical="center" wrapText="1"/>
    </xf>
    <xf numFmtId="164" fontId="0" fillId="34" borderId="18" xfId="0" applyNumberFormat="1" applyFill="1" applyBorder="1" applyAlignment="1">
      <alignment horizontal="center" vertical="center" wrapText="1"/>
    </xf>
    <xf numFmtId="164" fontId="0" fillId="34" borderId="19" xfId="0" applyNumberFormat="1" applyFill="1" applyBorder="1" applyAlignment="1">
      <alignment horizontal="center" vertical="center" wrapText="1"/>
    </xf>
    <xf numFmtId="0" fontId="21" fillId="39" borderId="5" xfId="0" applyFont="1" applyFill="1" applyBorder="1" applyAlignment="1">
      <alignment horizontal="center" vertical="center" wrapText="1"/>
    </xf>
    <xf numFmtId="0" fontId="21" fillId="38" borderId="5" xfId="0" applyFont="1" applyFill="1" applyBorder="1" applyAlignment="1">
      <alignment horizontal="center" vertical="center" wrapText="1"/>
    </xf>
    <xf numFmtId="0" fontId="21" fillId="40" borderId="5" xfId="0" applyFont="1" applyFill="1" applyBorder="1" applyAlignment="1">
      <alignment horizontal="center" vertical="center" wrapText="1"/>
    </xf>
    <xf numFmtId="0" fontId="21" fillId="29" borderId="5" xfId="0" applyFont="1" applyFill="1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64" fontId="2" fillId="8" borderId="0" xfId="0" applyNumberFormat="1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0" fillId="0" borderId="32" xfId="0" applyNumberFormat="1" applyBorder="1" applyAlignment="1">
      <alignment horizontal="center" vertical="center" wrapText="1"/>
    </xf>
    <xf numFmtId="1" fontId="3" fillId="34" borderId="31" xfId="0" applyNumberFormat="1" applyFont="1" applyFill="1" applyBorder="1" applyAlignment="1">
      <alignment horizontal="center" vertical="center" wrapText="1"/>
    </xf>
    <xf numFmtId="164" fontId="2" fillId="34" borderId="32" xfId="0" applyNumberFormat="1" applyFont="1" applyFill="1" applyBorder="1" applyAlignment="1">
      <alignment horizontal="center" vertical="center" wrapText="1"/>
    </xf>
    <xf numFmtId="164" fontId="0" fillId="34" borderId="32" xfId="0" applyNumberFormat="1" applyFill="1" applyBorder="1" applyAlignment="1">
      <alignment horizontal="center" vertical="center" wrapText="1"/>
    </xf>
    <xf numFmtId="164" fontId="0" fillId="34" borderId="33" xfId="0" applyNumberFormat="1" applyFill="1" applyBorder="1" applyAlignment="1">
      <alignment horizontal="center" vertical="center" wrapText="1"/>
    </xf>
    <xf numFmtId="164" fontId="0" fillId="8" borderId="11" xfId="0" applyNumberFormat="1" applyFill="1" applyBorder="1" applyAlignment="1">
      <alignment horizontal="center" vertical="center" wrapText="1"/>
    </xf>
    <xf numFmtId="164" fontId="0" fillId="8" borderId="12" xfId="0" applyNumberFormat="1" applyFill="1" applyBorder="1" applyAlignment="1">
      <alignment horizontal="center" vertical="center" wrapText="1"/>
    </xf>
    <xf numFmtId="164" fontId="0" fillId="8" borderId="18" xfId="0" applyNumberFormat="1" applyFill="1" applyBorder="1" applyAlignment="1">
      <alignment horizontal="center" vertical="center" wrapText="1"/>
    </xf>
    <xf numFmtId="164" fontId="0" fillId="8" borderId="19" xfId="0" applyNumberFormat="1" applyFill="1" applyBorder="1" applyAlignment="1">
      <alignment horizontal="center" vertical="center" wrapText="1"/>
    </xf>
    <xf numFmtId="0" fontId="21" fillId="41" borderId="5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7" fillId="41" borderId="5" xfId="0" applyFont="1" applyFill="1" applyBorder="1" applyAlignment="1">
      <alignment horizontal="center" vertical="center" wrapText="1"/>
    </xf>
    <xf numFmtId="9" fontId="2" fillId="8" borderId="3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9" fontId="2" fillId="34" borderId="32" xfId="0" applyNumberFormat="1" applyFont="1" applyFill="1" applyBorder="1" applyAlignment="1">
      <alignment horizontal="center" vertical="center" wrapText="1"/>
    </xf>
    <xf numFmtId="0" fontId="7" fillId="40" borderId="2" xfId="0" applyFont="1" applyFill="1" applyBorder="1" applyAlignment="1">
      <alignment horizontal="center" vertical="center" wrapText="1"/>
    </xf>
    <xf numFmtId="0" fontId="7" fillId="42" borderId="2" xfId="0" applyFont="1" applyFill="1" applyBorder="1" applyAlignment="1">
      <alignment horizontal="center" vertical="center" wrapText="1"/>
    </xf>
    <xf numFmtId="0" fontId="7" fillId="43" borderId="2" xfId="0" applyFont="1" applyFill="1" applyBorder="1" applyAlignment="1">
      <alignment horizontal="center" vertical="center" wrapText="1"/>
    </xf>
    <xf numFmtId="1" fontId="5" fillId="34" borderId="25" xfId="0" applyNumberFormat="1" applyFont="1" applyFill="1" applyBorder="1" applyAlignment="1">
      <alignment horizontal="center" vertical="center" wrapText="1"/>
    </xf>
    <xf numFmtId="1" fontId="5" fillId="0" borderId="26" xfId="0" applyNumberFormat="1" applyFont="1" applyBorder="1" applyAlignment="1">
      <alignment horizontal="center" vertical="center" wrapText="1"/>
    </xf>
    <xf numFmtId="1" fontId="5" fillId="34" borderId="27" xfId="0" applyNumberFormat="1" applyFont="1" applyFill="1" applyBorder="1" applyAlignment="1">
      <alignment horizontal="center" vertical="center" wrapText="1"/>
    </xf>
    <xf numFmtId="1" fontId="5" fillId="3" borderId="28" xfId="0" applyNumberFormat="1" applyFont="1" applyFill="1" applyBorder="1" applyAlignment="1">
      <alignment horizontal="center" vertical="center" wrapText="1"/>
    </xf>
    <xf numFmtId="1" fontId="5" fillId="0" borderId="13" xfId="0" applyNumberFormat="1" applyFont="1" applyBorder="1" applyAlignment="1">
      <alignment horizontal="center" vertical="center" wrapText="1"/>
    </xf>
    <xf numFmtId="1" fontId="5" fillId="3" borderId="17" xfId="0" applyNumberFormat="1" applyFont="1" applyFill="1" applyBorder="1" applyAlignment="1">
      <alignment horizontal="center" vertical="center" wrapText="1"/>
    </xf>
    <xf numFmtId="1" fontId="5" fillId="0" borderId="28" xfId="0" applyNumberFormat="1" applyFont="1" applyBorder="1" applyAlignment="1">
      <alignment horizontal="center" vertical="center" wrapText="1"/>
    </xf>
    <xf numFmtId="1" fontId="5" fillId="34" borderId="13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0" borderId="17" xfId="0" applyNumberFormat="1" applyFont="1" applyBorder="1" applyAlignment="1">
      <alignment horizontal="center" vertical="center" wrapText="1"/>
    </xf>
    <xf numFmtId="164" fontId="2" fillId="0" borderId="19" xfId="0" applyNumberFormat="1" applyFont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 wrapText="1"/>
    </xf>
    <xf numFmtId="1" fontId="2" fillId="34" borderId="1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2" fontId="2" fillId="8" borderId="32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2" fontId="2" fillId="8" borderId="34" xfId="0" applyNumberFormat="1" applyFont="1" applyFill="1" applyBorder="1" applyAlignment="1">
      <alignment horizontal="center" vertical="center" wrapText="1"/>
    </xf>
    <xf numFmtId="2" fontId="2" fillId="3" borderId="36" xfId="0" applyNumberFormat="1" applyFont="1" applyFill="1" applyBorder="1" applyAlignment="1">
      <alignment horizontal="center" vertical="center" wrapText="1"/>
    </xf>
    <xf numFmtId="2" fontId="2" fillId="8" borderId="41" xfId="0" applyNumberFormat="1" applyFont="1" applyFill="1" applyBorder="1" applyAlignment="1">
      <alignment horizontal="center" vertical="center" wrapText="1"/>
    </xf>
    <xf numFmtId="2" fontId="3" fillId="34" borderId="28" xfId="0" applyNumberFormat="1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1" fontId="3" fillId="7" borderId="10" xfId="0" applyNumberFormat="1" applyFont="1" applyFill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2" fontId="3" fillId="3" borderId="17" xfId="0" applyNumberFormat="1" applyFont="1" applyFill="1" applyBorder="1" applyAlignment="1">
      <alignment horizontal="center" vertical="center" wrapText="1"/>
    </xf>
    <xf numFmtId="9" fontId="2" fillId="7" borderId="18" xfId="0" applyNumberFormat="1" applyFont="1" applyFill="1" applyBorder="1" applyAlignment="1">
      <alignment horizontal="center" vertical="center" wrapText="1"/>
    </xf>
    <xf numFmtId="9" fontId="2" fillId="7" borderId="20" xfId="0" applyNumberFormat="1" applyFont="1" applyFill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2" fontId="0" fillId="0" borderId="15" xfId="0" applyNumberFormat="1" applyBorder="1" applyAlignment="1">
      <alignment horizontal="center" vertical="center" wrapText="1"/>
    </xf>
    <xf numFmtId="2" fontId="0" fillId="7" borderId="20" xfId="0" applyNumberFormat="1" applyFill="1" applyBorder="1" applyAlignment="1">
      <alignment horizontal="center" vertical="center" wrapText="1"/>
    </xf>
    <xf numFmtId="2" fontId="0" fillId="7" borderId="21" xfId="0" applyNumberFormat="1" applyFill="1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9" fontId="0" fillId="0" borderId="0" xfId="0" applyNumberFormat="1"/>
    <xf numFmtId="0" fontId="2" fillId="7" borderId="18" xfId="0" applyFont="1" applyFill="1" applyBorder="1" applyAlignment="1">
      <alignment horizontal="center" vertical="center" wrapText="1"/>
    </xf>
    <xf numFmtId="1" fontId="3" fillId="0" borderId="44" xfId="0" applyNumberFormat="1" applyFont="1" applyBorder="1" applyAlignment="1">
      <alignment horizontal="center" vertical="center" wrapText="1"/>
    </xf>
    <xf numFmtId="2" fontId="2" fillId="8" borderId="44" xfId="0" applyNumberFormat="1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0" fillId="8" borderId="0" xfId="0" applyNumberFormat="1" applyFill="1" applyAlignment="1">
      <alignment horizontal="center" vertical="center"/>
    </xf>
    <xf numFmtId="2" fontId="0" fillId="8" borderId="52" xfId="0" applyNumberForma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1" fontId="3" fillId="8" borderId="9" xfId="0" applyNumberFormat="1" applyFont="1" applyFill="1" applyBorder="1" applyAlignment="1">
      <alignment horizontal="center" vertical="center" wrapText="1"/>
    </xf>
    <xf numFmtId="1" fontId="3" fillId="3" borderId="43" xfId="0" applyNumberFormat="1" applyFont="1" applyFill="1" applyBorder="1" applyAlignment="1">
      <alignment horizontal="center" vertical="center" wrapText="1"/>
    </xf>
    <xf numFmtId="0" fontId="23" fillId="44" borderId="53" xfId="0" applyFont="1" applyFill="1" applyBorder="1" applyAlignment="1">
      <alignment horizontal="center" vertical="center" wrapText="1"/>
    </xf>
    <xf numFmtId="0" fontId="2" fillId="3" borderId="54" xfId="0" applyFont="1" applyFill="1" applyBorder="1" applyAlignment="1">
      <alignment horizontal="center" vertical="center" wrapText="1"/>
    </xf>
    <xf numFmtId="2" fontId="0" fillId="3" borderId="20" xfId="0" applyNumberFormat="1" applyFill="1" applyBorder="1" applyAlignment="1">
      <alignment horizontal="center" vertical="center"/>
    </xf>
    <xf numFmtId="0" fontId="23" fillId="44" borderId="55" xfId="0" applyFont="1" applyFill="1" applyBorder="1" applyAlignment="1">
      <alignment horizontal="center" vertical="center" wrapText="1"/>
    </xf>
    <xf numFmtId="2" fontId="0" fillId="3" borderId="21" xfId="0" applyNumberFormat="1" applyFill="1" applyBorder="1" applyAlignment="1">
      <alignment horizontal="center" vertical="center"/>
    </xf>
    <xf numFmtId="0" fontId="3" fillId="27" borderId="56" xfId="0" applyFont="1" applyFill="1" applyBorder="1" applyAlignment="1">
      <alignment horizontal="center" vertical="center" wrapText="1"/>
    </xf>
    <xf numFmtId="2" fontId="0" fillId="3" borderId="57" xfId="0" applyNumberFormat="1" applyFill="1" applyBorder="1" applyAlignment="1">
      <alignment horizontal="center" vertical="center"/>
    </xf>
    <xf numFmtId="2" fontId="0" fillId="0" borderId="58" xfId="0" applyNumberFormat="1" applyBorder="1" applyAlignment="1">
      <alignment horizontal="center" vertical="center"/>
    </xf>
    <xf numFmtId="2" fontId="0" fillId="3" borderId="59" xfId="0" applyNumberFormat="1" applyFill="1" applyBorder="1" applyAlignment="1">
      <alignment horizontal="center" vertical="center"/>
    </xf>
    <xf numFmtId="0" fontId="3" fillId="8" borderId="60" xfId="0" applyFont="1" applyFill="1" applyBorder="1" applyAlignment="1">
      <alignment horizontal="center" vertical="center" wrapText="1"/>
    </xf>
    <xf numFmtId="0" fontId="0" fillId="0" borderId="61" xfId="0" applyBorder="1"/>
    <xf numFmtId="0" fontId="2" fillId="3" borderId="39" xfId="0" applyFont="1" applyFill="1" applyBorder="1" applyAlignment="1">
      <alignment horizontal="center" vertical="center" wrapText="1"/>
    </xf>
    <xf numFmtId="0" fontId="0" fillId="0" borderId="62" xfId="0" applyBorder="1"/>
    <xf numFmtId="0" fontId="0" fillId="0" borderId="63" xfId="0" applyBorder="1"/>
    <xf numFmtId="0" fontId="0" fillId="0" borderId="64" xfId="0" applyBorder="1"/>
    <xf numFmtId="2" fontId="3" fillId="0" borderId="46" xfId="0" applyNumberFormat="1" applyFont="1" applyBorder="1" applyAlignment="1">
      <alignment horizontal="center" vertical="center" wrapText="1"/>
    </xf>
    <xf numFmtId="2" fontId="3" fillId="3" borderId="27" xfId="0" applyNumberFormat="1" applyFont="1" applyFill="1" applyBorder="1" applyAlignment="1">
      <alignment horizontal="center" vertical="center" wrapText="1"/>
    </xf>
    <xf numFmtId="2" fontId="3" fillId="7" borderId="46" xfId="0" applyNumberFormat="1" applyFont="1" applyFill="1" applyBorder="1" applyAlignment="1">
      <alignment horizontal="center" vertical="center" wrapText="1"/>
    </xf>
    <xf numFmtId="2" fontId="3" fillId="7" borderId="65" xfId="0" applyNumberFormat="1" applyFont="1" applyFill="1" applyBorder="1" applyAlignment="1">
      <alignment horizontal="center" vertical="center" wrapText="1"/>
    </xf>
    <xf numFmtId="9" fontId="2" fillId="7" borderId="66" xfId="0" applyNumberFormat="1" applyFont="1" applyFill="1" applyBorder="1" applyAlignment="1">
      <alignment horizontal="center" vertical="center" wrapText="1"/>
    </xf>
    <xf numFmtId="2" fontId="0" fillId="7" borderId="66" xfId="0" applyNumberFormat="1" applyFill="1" applyBorder="1" applyAlignment="1">
      <alignment horizontal="center" vertical="center" wrapText="1"/>
    </xf>
    <xf numFmtId="2" fontId="0" fillId="7" borderId="67" xfId="0" applyNumberFormat="1" applyFill="1" applyBorder="1" applyAlignment="1">
      <alignment horizontal="center" vertical="center" wrapText="1"/>
    </xf>
    <xf numFmtId="2" fontId="3" fillId="0" borderId="68" xfId="0" applyNumberFormat="1" applyFont="1" applyBorder="1" applyAlignment="1">
      <alignment horizontal="center" vertical="center" wrapText="1"/>
    </xf>
    <xf numFmtId="2" fontId="0" fillId="0" borderId="69" xfId="0" applyNumberFormat="1" applyBorder="1" applyAlignment="1">
      <alignment horizontal="center" vertical="center" wrapText="1"/>
    </xf>
    <xf numFmtId="2" fontId="3" fillId="3" borderId="70" xfId="0" applyNumberFormat="1" applyFont="1" applyFill="1" applyBorder="1" applyAlignment="1">
      <alignment horizontal="center" vertical="center" wrapText="1"/>
    </xf>
    <xf numFmtId="9" fontId="2" fillId="7" borderId="71" xfId="0" applyNumberFormat="1" applyFont="1" applyFill="1" applyBorder="1" applyAlignment="1">
      <alignment horizontal="center" vertical="center" wrapText="1"/>
    </xf>
    <xf numFmtId="2" fontId="0" fillId="3" borderId="71" xfId="0" applyNumberFormat="1" applyFill="1" applyBorder="1" applyAlignment="1">
      <alignment horizontal="center" vertical="center"/>
    </xf>
    <xf numFmtId="2" fontId="0" fillId="3" borderId="72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8" fillId="5" borderId="73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8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4" xfId="0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1" borderId="8" xfId="0" applyFont="1" applyFill="1" applyBorder="1" applyAlignment="1">
      <alignment horizontal="center" vertical="center" wrapText="1"/>
    </xf>
    <xf numFmtId="0" fontId="8" fillId="21" borderId="3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8" fillId="37" borderId="7" xfId="0" applyFont="1" applyFill="1" applyBorder="1" applyAlignment="1">
      <alignment horizontal="center" vertical="center" wrapText="1"/>
    </xf>
    <xf numFmtId="0" fontId="8" fillId="37" borderId="8" xfId="0" applyFont="1" applyFill="1" applyBorder="1" applyAlignment="1">
      <alignment horizontal="center" vertical="center" wrapText="1"/>
    </xf>
    <xf numFmtId="0" fontId="8" fillId="37" borderId="3" xfId="0" applyFont="1" applyFill="1" applyBorder="1" applyAlignment="1">
      <alignment horizontal="center" vertical="center" wrapText="1"/>
    </xf>
    <xf numFmtId="0" fontId="8" fillId="38" borderId="7" xfId="0" applyFont="1" applyFill="1" applyBorder="1" applyAlignment="1">
      <alignment horizontal="center" vertical="center" wrapText="1"/>
    </xf>
    <xf numFmtId="0" fontId="8" fillId="38" borderId="8" xfId="0" applyFont="1" applyFill="1" applyBorder="1" applyAlignment="1">
      <alignment horizontal="center" vertical="center" wrapText="1"/>
    </xf>
    <xf numFmtId="0" fontId="8" fillId="38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3" fillId="0" borderId="74" xfId="0" applyFont="1" applyBorder="1" applyAlignment="1">
      <alignment horizontal="center" vertical="center" wrapText="1"/>
    </xf>
    <xf numFmtId="0" fontId="8" fillId="28" borderId="7" xfId="0" applyFont="1" applyFill="1" applyBorder="1" applyAlignment="1">
      <alignment horizontal="center" vertical="center" wrapText="1"/>
    </xf>
    <xf numFmtId="0" fontId="8" fillId="28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7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28" borderId="1" xfId="0" applyFont="1" applyFill="1" applyBorder="1" applyAlignment="1">
      <alignment horizontal="center" vertical="center" wrapText="1"/>
    </xf>
    <xf numFmtId="0" fontId="8" fillId="28" borderId="9" xfId="0" applyFont="1" applyFill="1" applyBorder="1" applyAlignment="1">
      <alignment horizontal="center" vertical="center" wrapText="1"/>
    </xf>
    <xf numFmtId="0" fontId="8" fillId="28" borderId="73" xfId="0" applyFont="1" applyFill="1" applyBorder="1" applyAlignment="1">
      <alignment horizontal="center" vertical="center" wrapText="1"/>
    </xf>
    <xf numFmtId="0" fontId="8" fillId="29" borderId="1" xfId="0" applyFont="1" applyFill="1" applyBorder="1" applyAlignment="1">
      <alignment horizontal="center" vertical="center" wrapText="1"/>
    </xf>
    <xf numFmtId="0" fontId="8" fillId="29" borderId="73" xfId="0" applyFont="1" applyFill="1" applyBorder="1" applyAlignment="1">
      <alignment horizontal="center" vertical="center" wrapText="1"/>
    </xf>
    <xf numFmtId="0" fontId="0" fillId="34" borderId="76" xfId="0" applyFill="1" applyBorder="1" applyAlignment="1">
      <alignment horizontal="center" vertical="center" wrapText="1"/>
    </xf>
    <xf numFmtId="0" fontId="0" fillId="34" borderId="24" xfId="0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8" fillId="36" borderId="1" xfId="0" applyFont="1" applyFill="1" applyBorder="1" applyAlignment="1">
      <alignment horizontal="center" vertical="center"/>
    </xf>
    <xf numFmtId="0" fontId="8" fillId="36" borderId="73" xfId="0" applyFont="1" applyFill="1" applyBorder="1" applyAlignment="1">
      <alignment horizontal="center" vertical="center"/>
    </xf>
    <xf numFmtId="0" fontId="8" fillId="35" borderId="7" xfId="0" applyFont="1" applyFill="1" applyBorder="1" applyAlignment="1">
      <alignment horizontal="center" vertical="center"/>
    </xf>
    <xf numFmtId="0" fontId="8" fillId="35" borderId="3" xfId="0" applyFont="1" applyFill="1" applyBorder="1" applyAlignment="1">
      <alignment horizontal="center" vertical="center"/>
    </xf>
    <xf numFmtId="1" fontId="3" fillId="8" borderId="77" xfId="0" applyNumberFormat="1" applyFont="1" applyFill="1" applyBorder="1" applyAlignment="1">
      <alignment horizontal="center" vertical="center" wrapText="1"/>
    </xf>
    <xf numFmtId="1" fontId="3" fillId="8" borderId="22" xfId="0" applyNumberFormat="1" applyFont="1" applyFill="1" applyBorder="1" applyAlignment="1">
      <alignment horizontal="center" vertical="center" wrapText="1"/>
    </xf>
    <xf numFmtId="9" fontId="2" fillId="8" borderId="78" xfId="0" applyNumberFormat="1" applyFont="1" applyFill="1" applyBorder="1" applyAlignment="1">
      <alignment horizontal="center" vertical="center" wrapText="1"/>
    </xf>
    <xf numFmtId="9" fontId="2" fillId="8" borderId="23" xfId="0" applyNumberFormat="1" applyFont="1" applyFill="1" applyBorder="1" applyAlignment="1">
      <alignment horizontal="center" vertical="center" wrapText="1"/>
    </xf>
    <xf numFmtId="1" fontId="0" fillId="8" borderId="78" xfId="0" applyNumberFormat="1" applyFill="1" applyBorder="1" applyAlignment="1">
      <alignment horizontal="center" vertical="center"/>
    </xf>
    <xf numFmtId="1" fontId="0" fillId="8" borderId="23" xfId="0" applyNumberFormat="1" applyFill="1" applyBorder="1" applyAlignment="1">
      <alignment horizontal="center" vertical="center"/>
    </xf>
    <xf numFmtId="1" fontId="0" fillId="8" borderId="79" xfId="0" applyNumberFormat="1" applyFill="1" applyBorder="1" applyAlignment="1">
      <alignment horizontal="center" vertical="center"/>
    </xf>
    <xf numFmtId="1" fontId="0" fillId="8" borderId="24" xfId="0" applyNumberFormat="1" applyFill="1" applyBorder="1" applyAlignment="1">
      <alignment horizontal="center" vertical="center"/>
    </xf>
    <xf numFmtId="2" fontId="0" fillId="8" borderId="76" xfId="0" applyNumberFormat="1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3" fillId="8" borderId="77" xfId="0" applyFont="1" applyFill="1" applyBorder="1" applyAlignment="1">
      <alignment horizontal="center" vertical="center" wrapText="1"/>
    </xf>
    <xf numFmtId="0" fontId="3" fillId="8" borderId="22" xfId="0" applyFont="1" applyFill="1" applyBorder="1" applyAlignment="1">
      <alignment horizontal="center" vertical="center" wrapText="1"/>
    </xf>
    <xf numFmtId="1" fontId="3" fillId="8" borderId="75" xfId="0" applyNumberFormat="1" applyFont="1" applyFill="1" applyBorder="1" applyAlignment="1">
      <alignment horizontal="center" vertical="center" wrapText="1"/>
    </xf>
    <xf numFmtId="1" fontId="3" fillId="8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73" xfId="0" applyFont="1" applyFill="1" applyBorder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73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3" borderId="73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/>
    </xf>
    <xf numFmtId="0" fontId="8" fillId="22" borderId="73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8" fillId="17" borderId="73" xfId="0" applyFont="1" applyFill="1" applyBorder="1" applyAlignment="1">
      <alignment horizontal="center" vertical="center"/>
    </xf>
    <xf numFmtId="1" fontId="0" fillId="3" borderId="11" xfId="0" applyNumberFormat="1" applyFill="1" applyBorder="1" applyAlignment="1">
      <alignment horizontal="center" vertical="center"/>
    </xf>
    <xf numFmtId="1" fontId="0" fillId="3" borderId="18" xfId="0" applyNumberFormat="1" applyFill="1" applyBorder="1" applyAlignment="1">
      <alignment horizontal="center" vertical="center"/>
    </xf>
    <xf numFmtId="1" fontId="0" fillId="3" borderId="12" xfId="0" applyNumberFormat="1" applyFill="1" applyBorder="1" applyAlignment="1">
      <alignment horizontal="center" vertical="center"/>
    </xf>
    <xf numFmtId="1" fontId="0" fillId="3" borderId="19" xfId="0" applyNumberForma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 wrapText="1"/>
    </xf>
    <xf numFmtId="1" fontId="3" fillId="3" borderId="18" xfId="0" applyNumberFormat="1" applyFont="1" applyFill="1" applyBorder="1" applyAlignment="1">
      <alignment horizontal="center" vertical="center" wrapText="1"/>
    </xf>
    <xf numFmtId="9" fontId="2" fillId="3" borderId="11" xfId="0" applyNumberFormat="1" applyFont="1" applyFill="1" applyBorder="1" applyAlignment="1">
      <alignment horizontal="center" vertical="center" wrapText="1"/>
    </xf>
    <xf numFmtId="9" fontId="2" fillId="3" borderId="18" xfId="0" applyNumberFormat="1" applyFont="1" applyFill="1" applyBorder="1" applyAlignment="1">
      <alignment horizontal="center" vertical="center" wrapText="1"/>
    </xf>
    <xf numFmtId="2" fontId="2" fillId="8" borderId="75" xfId="0" applyNumberFormat="1" applyFont="1" applyFill="1" applyBorder="1" applyAlignment="1">
      <alignment horizontal="center" vertical="center" wrapText="1"/>
    </xf>
    <xf numFmtId="2" fontId="2" fillId="8" borderId="23" xfId="0" applyNumberFormat="1" applyFont="1" applyFill="1" applyBorder="1" applyAlignment="1">
      <alignment horizontal="center" vertical="center" wrapText="1"/>
    </xf>
    <xf numFmtId="2" fontId="0" fillId="8" borderId="75" xfId="0" applyNumberFormat="1" applyFill="1" applyBorder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1" fontId="3" fillId="34" borderId="75" xfId="0" applyNumberFormat="1" applyFont="1" applyFill="1" applyBorder="1" applyAlignment="1">
      <alignment horizontal="center" vertical="center" wrapText="1"/>
    </xf>
    <xf numFmtId="1" fontId="3" fillId="34" borderId="23" xfId="0" applyNumberFormat="1" applyFont="1" applyFill="1" applyBorder="1" applyAlignment="1">
      <alignment horizontal="center" vertical="center" wrapText="1"/>
    </xf>
    <xf numFmtId="2" fontId="2" fillId="34" borderId="75" xfId="0" applyNumberFormat="1" applyFont="1" applyFill="1" applyBorder="1" applyAlignment="1">
      <alignment horizontal="center" vertical="center" wrapText="1"/>
    </xf>
    <xf numFmtId="2" fontId="2" fillId="34" borderId="23" xfId="0" applyNumberFormat="1" applyFont="1" applyFill="1" applyBorder="1" applyAlignment="1">
      <alignment horizontal="center" vertical="center" wrapText="1"/>
    </xf>
    <xf numFmtId="0" fontId="0" fillId="34" borderId="75" xfId="0" applyFill="1" applyBorder="1" applyAlignment="1">
      <alignment horizontal="center" vertical="center" wrapText="1"/>
    </xf>
    <xf numFmtId="0" fontId="0" fillId="34" borderId="2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 wrapText="1"/>
    </xf>
    <xf numFmtId="0" fontId="8" fillId="14" borderId="8" xfId="0" applyFont="1" applyFill="1" applyBorder="1" applyAlignment="1">
      <alignment horizontal="center" vertical="center" wrapText="1"/>
    </xf>
    <xf numFmtId="0" fontId="8" fillId="14" borderId="73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1" fillId="15" borderId="8" xfId="0" applyFont="1" applyFill="1" applyBorder="1" applyAlignment="1">
      <alignment horizontal="center" vertical="center" wrapText="1"/>
    </xf>
    <xf numFmtId="0" fontId="11" fillId="15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73" xfId="0" applyFont="1" applyFill="1" applyBorder="1" applyAlignment="1">
      <alignment horizontal="center" vertical="center" wrapText="1"/>
    </xf>
    <xf numFmtId="0" fontId="11" fillId="19" borderId="7" xfId="0" applyFont="1" applyFill="1" applyBorder="1" applyAlignment="1">
      <alignment horizontal="center" vertical="center" wrapText="1"/>
    </xf>
    <xf numFmtId="0" fontId="11" fillId="19" borderId="8" xfId="0" applyFont="1" applyFill="1" applyBorder="1" applyAlignment="1">
      <alignment horizontal="center" vertical="center" wrapText="1"/>
    </xf>
    <xf numFmtId="0" fontId="11" fillId="19" borderId="3" xfId="0" applyFont="1" applyFill="1" applyBorder="1" applyAlignment="1">
      <alignment horizontal="center" vertical="center" wrapText="1"/>
    </xf>
    <xf numFmtId="0" fontId="11" fillId="20" borderId="7" xfId="0" applyFont="1" applyFill="1" applyBorder="1" applyAlignment="1">
      <alignment horizontal="center" vertical="center" wrapText="1"/>
    </xf>
    <xf numFmtId="0" fontId="11" fillId="20" borderId="8" xfId="0" applyFont="1" applyFill="1" applyBorder="1" applyAlignment="1">
      <alignment horizontal="center" vertical="center" wrapText="1"/>
    </xf>
    <xf numFmtId="0" fontId="11" fillId="20" borderId="3" xfId="0" applyFont="1" applyFill="1" applyBorder="1" applyAlignment="1">
      <alignment horizontal="center" vertical="center" wrapText="1"/>
    </xf>
    <xf numFmtId="0" fontId="11" fillId="41" borderId="7" xfId="0" applyFont="1" applyFill="1" applyBorder="1" applyAlignment="1">
      <alignment horizontal="center" vertical="center" wrapText="1"/>
    </xf>
    <xf numFmtId="0" fontId="11" fillId="41" borderId="8" xfId="0" applyFont="1" applyFill="1" applyBorder="1" applyAlignment="1">
      <alignment horizontal="center" vertical="center" wrapText="1"/>
    </xf>
    <xf numFmtId="0" fontId="11" fillId="41" borderId="73" xfId="0" applyFont="1" applyFill="1" applyBorder="1" applyAlignment="1">
      <alignment horizontal="center"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11" fillId="17" borderId="7" xfId="0" applyFont="1" applyFill="1" applyBorder="1" applyAlignment="1">
      <alignment horizontal="center" vertical="center" wrapText="1"/>
    </xf>
    <xf numFmtId="0" fontId="11" fillId="17" borderId="8" xfId="0" applyFont="1" applyFill="1" applyBorder="1" applyAlignment="1">
      <alignment horizontal="center" vertical="center" wrapText="1"/>
    </xf>
    <xf numFmtId="0" fontId="11" fillId="17" borderId="3" xfId="0" applyFont="1" applyFill="1" applyBorder="1" applyAlignment="1">
      <alignment horizontal="center" vertical="center" wrapText="1"/>
    </xf>
    <xf numFmtId="0" fontId="11" fillId="18" borderId="7" xfId="0" applyFont="1" applyFill="1" applyBorder="1" applyAlignment="1">
      <alignment horizontal="center" vertical="center" wrapText="1"/>
    </xf>
    <xf numFmtId="0" fontId="11" fillId="18" borderId="8" xfId="0" applyFont="1" applyFill="1" applyBorder="1" applyAlignment="1">
      <alignment horizontal="center" vertical="center" wrapText="1"/>
    </xf>
    <xf numFmtId="0" fontId="11" fillId="18" borderId="73" xfId="0" applyFont="1" applyFill="1" applyBorder="1" applyAlignment="1">
      <alignment horizontal="center" vertical="center" wrapText="1"/>
    </xf>
    <xf numFmtId="0" fontId="8" fillId="25" borderId="7" xfId="0" applyFont="1" applyFill="1" applyBorder="1" applyAlignment="1">
      <alignment horizontal="center" vertical="center" wrapText="1"/>
    </xf>
    <xf numFmtId="0" fontId="8" fillId="25" borderId="3" xfId="0" applyFont="1" applyFill="1" applyBorder="1" applyAlignment="1">
      <alignment horizontal="center" vertical="center"/>
    </xf>
    <xf numFmtId="0" fontId="8" fillId="23" borderId="7" xfId="0" applyFont="1" applyFill="1" applyBorder="1" applyAlignment="1">
      <alignment horizontal="center" vertical="center" wrapText="1"/>
    </xf>
    <xf numFmtId="0" fontId="8" fillId="23" borderId="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8" fillId="22" borderId="7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/>
    </xf>
    <xf numFmtId="0" fontId="3" fillId="0" borderId="86" xfId="0" applyFont="1" applyBorder="1" applyAlignment="1">
      <alignment horizontal="center" vertical="center" wrapText="1"/>
    </xf>
    <xf numFmtId="0" fontId="3" fillId="0" borderId="87" xfId="0" applyFont="1" applyBorder="1" applyAlignment="1">
      <alignment horizontal="center" vertical="center" wrapText="1"/>
    </xf>
    <xf numFmtId="0" fontId="3" fillId="0" borderId="88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24" fillId="44" borderId="89" xfId="0" applyFont="1" applyFill="1" applyBorder="1" applyAlignment="1">
      <alignment horizontal="center" vertical="center" wrapText="1"/>
    </xf>
    <xf numFmtId="0" fontId="24" fillId="44" borderId="90" xfId="0" applyFont="1" applyFill="1" applyBorder="1" applyAlignment="1">
      <alignment horizontal="center" vertical="center" wrapText="1"/>
    </xf>
    <xf numFmtId="0" fontId="8" fillId="27" borderId="7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6" fillId="3" borderId="80" xfId="0" applyFont="1" applyFill="1" applyBorder="1" applyAlignment="1">
      <alignment horizontal="center"/>
    </xf>
    <xf numFmtId="0" fontId="6" fillId="3" borderId="84" xfId="0" applyFont="1" applyFill="1" applyBorder="1" applyAlignment="1">
      <alignment horizontal="center"/>
    </xf>
    <xf numFmtId="0" fontId="6" fillId="3" borderId="81" xfId="0" applyFont="1" applyFill="1" applyBorder="1" applyAlignment="1">
      <alignment horizontal="center"/>
    </xf>
    <xf numFmtId="0" fontId="8" fillId="24" borderId="7" xfId="0" applyFont="1" applyFill="1" applyBorder="1" applyAlignment="1">
      <alignment horizontal="center" vertical="center" wrapText="1"/>
    </xf>
    <xf numFmtId="0" fontId="8" fillId="24" borderId="3" xfId="0" applyFont="1" applyFill="1" applyBorder="1" applyAlignment="1">
      <alignment horizontal="center" vertical="center"/>
    </xf>
    <xf numFmtId="0" fontId="8" fillId="26" borderId="85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1" fillId="31" borderId="1" xfId="0" applyFont="1" applyFill="1" applyBorder="1" applyAlignment="1">
      <alignment horizontal="center" vertical="center" wrapText="1"/>
    </xf>
    <xf numFmtId="0" fontId="11" fillId="31" borderId="73" xfId="0" applyFont="1" applyFill="1" applyBorder="1" applyAlignment="1">
      <alignment horizontal="center" vertical="center" wrapText="1"/>
    </xf>
    <xf numFmtId="0" fontId="11" fillId="32" borderId="1" xfId="0" applyFont="1" applyFill="1" applyBorder="1" applyAlignment="1">
      <alignment horizontal="center" vertical="center" wrapText="1"/>
    </xf>
    <xf numFmtId="0" fontId="11" fillId="32" borderId="73" xfId="0" applyFont="1" applyFill="1" applyBorder="1" applyAlignment="1">
      <alignment horizontal="center" vertical="center" wrapText="1"/>
    </xf>
    <xf numFmtId="0" fontId="11" fillId="30" borderId="1" xfId="0" applyFont="1" applyFill="1" applyBorder="1" applyAlignment="1">
      <alignment horizontal="center" vertical="center" wrapText="1"/>
    </xf>
    <xf numFmtId="0" fontId="11" fillId="30" borderId="73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7" borderId="7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8" fillId="33" borderId="7" xfId="0" applyFont="1" applyFill="1" applyBorder="1" applyAlignment="1">
      <alignment horizontal="center" vertical="center" wrapText="1"/>
    </xf>
    <xf numFmtId="0" fontId="8" fillId="33" borderId="8" xfId="0" applyFont="1" applyFill="1" applyBorder="1" applyAlignment="1">
      <alignment horizontal="center" vertical="center" wrapText="1"/>
    </xf>
    <xf numFmtId="0" fontId="8" fillId="33" borderId="73" xfId="0" applyFont="1" applyFill="1" applyBorder="1" applyAlignment="1">
      <alignment horizontal="center" vertical="center" wrapText="1"/>
    </xf>
    <xf numFmtId="0" fontId="8" fillId="19" borderId="1" xfId="0" applyFont="1" applyFill="1" applyBorder="1" applyAlignment="1">
      <alignment horizontal="center" vertical="center" wrapText="1"/>
    </xf>
    <xf numFmtId="0" fontId="8" fillId="19" borderId="9" xfId="0" applyFont="1" applyFill="1" applyBorder="1" applyAlignment="1">
      <alignment horizontal="center" vertical="center" wrapText="1"/>
    </xf>
    <xf numFmtId="0" fontId="8" fillId="19" borderId="73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8" fillId="13" borderId="73" xfId="0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center" vertical="center" wrapText="1"/>
    </xf>
    <xf numFmtId="0" fontId="8" fillId="30" borderId="8" xfId="0" applyFont="1" applyFill="1" applyBorder="1" applyAlignment="1">
      <alignment horizontal="center" vertical="center" wrapText="1"/>
    </xf>
    <xf numFmtId="0" fontId="8" fillId="30" borderId="3" xfId="0" applyFont="1" applyFill="1" applyBorder="1" applyAlignment="1">
      <alignment horizontal="center"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20" fillId="41" borderId="7" xfId="0" applyFont="1" applyFill="1" applyBorder="1" applyAlignment="1">
      <alignment horizontal="center" vertical="center" wrapText="1"/>
    </xf>
    <xf numFmtId="0" fontId="20" fillId="41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20" fillId="40" borderId="7" xfId="0" applyFont="1" applyFill="1" applyBorder="1" applyAlignment="1">
      <alignment horizontal="center" vertical="center" wrapText="1"/>
    </xf>
    <xf numFmtId="0" fontId="20" fillId="40" borderId="73" xfId="0" applyFont="1" applyFill="1" applyBorder="1" applyAlignment="1">
      <alignment horizontal="center" vertical="center" wrapText="1"/>
    </xf>
    <xf numFmtId="0" fontId="20" fillId="38" borderId="7" xfId="0" applyFont="1" applyFill="1" applyBorder="1" applyAlignment="1">
      <alignment horizontal="center" vertical="center" wrapText="1"/>
    </xf>
    <xf numFmtId="0" fontId="20" fillId="38" borderId="73" xfId="0" applyFont="1" applyFill="1" applyBorder="1" applyAlignment="1">
      <alignment horizontal="center" vertical="center" wrapText="1"/>
    </xf>
    <xf numFmtId="0" fontId="20" fillId="29" borderId="7" xfId="0" applyFont="1" applyFill="1" applyBorder="1" applyAlignment="1">
      <alignment horizontal="center" vertical="center" wrapText="1"/>
    </xf>
    <xf numFmtId="0" fontId="20" fillId="29" borderId="73" xfId="0" applyFont="1" applyFill="1" applyBorder="1" applyAlignment="1">
      <alignment horizontal="center" vertical="center" wrapText="1"/>
    </xf>
    <xf numFmtId="0" fontId="20" fillId="39" borderId="7" xfId="0" applyFont="1" applyFill="1" applyBorder="1" applyAlignment="1">
      <alignment horizontal="center" vertical="center" wrapText="1"/>
    </xf>
    <xf numFmtId="0" fontId="20" fillId="39" borderId="3" xfId="0" applyFont="1" applyFill="1" applyBorder="1" applyAlignment="1">
      <alignment horizontal="center" vertical="center" wrapText="1"/>
    </xf>
    <xf numFmtId="0" fontId="8" fillId="37" borderId="73" xfId="0" applyFont="1" applyFill="1" applyBorder="1" applyAlignment="1">
      <alignment horizontal="center" vertical="center" wrapText="1"/>
    </xf>
    <xf numFmtId="0" fontId="8" fillId="43" borderId="7" xfId="0" applyFont="1" applyFill="1" applyBorder="1" applyAlignment="1">
      <alignment horizontal="center" vertical="center" wrapText="1"/>
    </xf>
    <xf numFmtId="0" fontId="8" fillId="43" borderId="3" xfId="0" applyFont="1" applyFill="1" applyBorder="1" applyAlignment="1">
      <alignment horizontal="center" vertical="center" wrapText="1"/>
    </xf>
    <xf numFmtId="0" fontId="8" fillId="42" borderId="7" xfId="0" applyFont="1" applyFill="1" applyBorder="1" applyAlignment="1">
      <alignment horizontal="center" vertical="center" wrapText="1"/>
    </xf>
    <xf numFmtId="0" fontId="8" fillId="42" borderId="3" xfId="0" applyFont="1" applyFill="1" applyBorder="1" applyAlignment="1">
      <alignment horizontal="center" vertical="center" wrapText="1"/>
    </xf>
    <xf numFmtId="0" fontId="8" fillId="40" borderId="7" xfId="0" applyFont="1" applyFill="1" applyBorder="1" applyAlignment="1">
      <alignment horizontal="center" vertical="center" wrapText="1"/>
    </xf>
    <xf numFmtId="0" fontId="8" fillId="4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0</xdr:row>
      <xdr:rowOff>51955</xdr:rowOff>
    </xdr:from>
    <xdr:to>
      <xdr:col>0</xdr:col>
      <xdr:colOff>1446069</xdr:colOff>
      <xdr:row>1</xdr:row>
      <xdr:rowOff>185960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23825" y="47625"/>
          <a:ext cx="1323975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110092</xdr:colOff>
      <xdr:row>0</xdr:row>
      <xdr:rowOff>27584</xdr:rowOff>
    </xdr:from>
    <xdr:to>
      <xdr:col>0</xdr:col>
      <xdr:colOff>1504206</xdr:colOff>
      <xdr:row>1</xdr:row>
      <xdr:rowOff>194232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14300" y="28575"/>
          <a:ext cx="1390650" cy="5429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84667</xdr:rowOff>
    </xdr:from>
    <xdr:to>
      <xdr:col>0</xdr:col>
      <xdr:colOff>1761984</xdr:colOff>
      <xdr:row>1</xdr:row>
      <xdr:rowOff>317500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66700" y="85725"/>
          <a:ext cx="1495425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283153</xdr:colOff>
      <xdr:row>0</xdr:row>
      <xdr:rowOff>109105</xdr:rowOff>
    </xdr:from>
    <xdr:to>
      <xdr:col>0</xdr:col>
      <xdr:colOff>1607994</xdr:colOff>
      <xdr:row>1</xdr:row>
      <xdr:rowOff>243110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85750" y="104775"/>
          <a:ext cx="1323975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84667</xdr:rowOff>
    </xdr:from>
    <xdr:to>
      <xdr:col>0</xdr:col>
      <xdr:colOff>1761984</xdr:colOff>
      <xdr:row>1</xdr:row>
      <xdr:rowOff>317500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045190A-E268-4789-8838-AF692CA58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66700" y="85725"/>
          <a:ext cx="1495425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84667</xdr:rowOff>
    </xdr:from>
    <xdr:to>
      <xdr:col>0</xdr:col>
      <xdr:colOff>1761984</xdr:colOff>
      <xdr:row>1</xdr:row>
      <xdr:rowOff>285750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66700" y="85725"/>
          <a:ext cx="1495425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0</xdr:row>
      <xdr:rowOff>109105</xdr:rowOff>
    </xdr:from>
    <xdr:to>
      <xdr:col>0</xdr:col>
      <xdr:colOff>1446069</xdr:colOff>
      <xdr:row>1</xdr:row>
      <xdr:rowOff>256445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23825" y="104775"/>
          <a:ext cx="1323975" cy="523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121228</xdr:colOff>
      <xdr:row>0</xdr:row>
      <xdr:rowOff>109105</xdr:rowOff>
    </xdr:from>
    <xdr:to>
      <xdr:col>0</xdr:col>
      <xdr:colOff>1446069</xdr:colOff>
      <xdr:row>1</xdr:row>
      <xdr:rowOff>256445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D21C32-CBE5-4344-98D2-40FEDA10E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23825" y="104775"/>
          <a:ext cx="1323975" cy="5238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246958</xdr:colOff>
      <xdr:row>0</xdr:row>
      <xdr:rowOff>28575</xdr:rowOff>
    </xdr:from>
    <xdr:to>
      <xdr:col>0</xdr:col>
      <xdr:colOff>1318260</xdr:colOff>
      <xdr:row>1</xdr:row>
      <xdr:rowOff>300033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B5643B-ACD6-4ADA-BF4E-55B866DA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47650" y="28575"/>
          <a:ext cx="1066800" cy="457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45028</xdr:colOff>
      <xdr:row>0</xdr:row>
      <xdr:rowOff>118630</xdr:rowOff>
    </xdr:from>
    <xdr:to>
      <xdr:col>0</xdr:col>
      <xdr:colOff>1369869</xdr:colOff>
      <xdr:row>1</xdr:row>
      <xdr:rowOff>296450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47625" y="114300"/>
          <a:ext cx="1323975" cy="561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140278</xdr:colOff>
      <xdr:row>0</xdr:row>
      <xdr:rowOff>101312</xdr:rowOff>
    </xdr:from>
    <xdr:to>
      <xdr:col>0</xdr:col>
      <xdr:colOff>1465465</xdr:colOff>
      <xdr:row>1</xdr:row>
      <xdr:rowOff>314634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42875" y="104775"/>
          <a:ext cx="1323975" cy="5905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264584</xdr:colOff>
      <xdr:row>0</xdr:row>
      <xdr:rowOff>84667</xdr:rowOff>
    </xdr:from>
    <xdr:to>
      <xdr:col>0</xdr:col>
      <xdr:colOff>1761984</xdr:colOff>
      <xdr:row>1</xdr:row>
      <xdr:rowOff>285750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66700" y="85725"/>
          <a:ext cx="1495425" cy="581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76200</xdr:rowOff>
    </xdr:from>
    <xdr:to>
      <xdr:col>0</xdr:col>
      <xdr:colOff>1781245</xdr:colOff>
      <xdr:row>1</xdr:row>
      <xdr:rowOff>310938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85750" y="76200"/>
          <a:ext cx="1495425" cy="6191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2189F3A-A7A6-4D60-8AA0-3CBA5962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5CD6AF-CF92-4052-8AC3-225FD6EBF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99980</xdr:colOff>
      <xdr:row>0</xdr:row>
      <xdr:rowOff>138413</xdr:rowOff>
    </xdr:from>
    <xdr:to>
      <xdr:col>0</xdr:col>
      <xdr:colOff>1200412</xdr:colOff>
      <xdr:row>1</xdr:row>
      <xdr:rowOff>190500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104900" cy="428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BB58B71-6992-458E-8966-757CBC98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97AE14-9A88-406F-8CF1-35ED5AA1D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99979</xdr:colOff>
      <xdr:row>0</xdr:row>
      <xdr:rowOff>138412</xdr:rowOff>
    </xdr:from>
    <xdr:to>
      <xdr:col>0</xdr:col>
      <xdr:colOff>1315142</xdr:colOff>
      <xdr:row>1</xdr:row>
      <xdr:rowOff>247843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526E4A5-F9DB-4AC5-804A-D16576898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5250" y="142875"/>
          <a:ext cx="1219200" cy="4857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livelson Beltorti dos Santos" id="{78B90695-9145-4E45-8BA0-BED1A9183981}" userId="S::ellivelson.santos@unimedpoa.com.br::21be0124-d76e-4578-b271-6ad4ca572717" providerId="AD"/>
</personList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3" dT="2024-11-21T16:23:47.67" personId="{78B90695-9145-4E45-8BA0-BED1A9183981}" id="{3F9CD04C-4424-4C6D-8247-AC2986674E3E}">
    <text>Soro</text>
  </threadedComment>
  <threadedComment ref="B44" dT="2024-11-21T16:23:53.34" personId="{78B90695-9145-4E45-8BA0-BED1A9183981}" id="{34B42010-2829-4831-B8CC-BB15A55183FD}">
    <text>Citrato</text>
  </threadedComment>
  <threadedComment ref="B45" dT="2025-03-10T17:31:32.89" personId="{78B90695-9145-4E45-8BA0-BED1A9183981}" id="{D7A9BC06-CEAB-4E32-B9D4-BF861B45BE34}">
    <text>Tubo de coleta com fundo em V Salivette®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2C795-87D4-4719-92B5-E47616B4E2D7}">
  <sheetPr>
    <tabColor theme="7"/>
    <pageSetUpPr fitToPage="1"/>
  </sheetPr>
  <dimension ref="A1:F33"/>
  <sheetViews>
    <sheetView showGridLines="0" topLeftCell="A21" zoomScale="80" zoomScaleNormal="80" zoomScaleSheetLayoutView="100" workbookViewId="0">
      <selection activeCell="K8" sqref="K8"/>
    </sheetView>
  </sheetViews>
  <sheetFormatPr defaultRowHeight="15" x14ac:dyDescent="0.25"/>
  <cols>
    <col min="1" max="1" width="22" customWidth="1"/>
    <col min="2" max="2" width="30.7109375" customWidth="1"/>
    <col min="3" max="4" width="13.28515625" customWidth="1"/>
    <col min="5" max="6" width="20" customWidth="1"/>
  </cols>
  <sheetData>
    <row r="1" spans="1:6" ht="30" customHeight="1" thickBot="1" x14ac:dyDescent="0.3">
      <c r="A1" s="2"/>
      <c r="B1" s="507" t="s">
        <v>78</v>
      </c>
      <c r="C1" s="508"/>
      <c r="D1" s="509"/>
      <c r="E1" s="3" t="s">
        <v>82</v>
      </c>
      <c r="F1" s="4" t="s">
        <v>175</v>
      </c>
    </row>
    <row r="2" spans="1:6" ht="30" customHeight="1" thickBot="1" x14ac:dyDescent="0.3">
      <c r="A2" s="5"/>
      <c r="B2" s="510"/>
      <c r="C2" s="511"/>
      <c r="D2" s="512"/>
      <c r="E2" s="6" t="s">
        <v>79</v>
      </c>
      <c r="F2" s="7" t="s">
        <v>80</v>
      </c>
    </row>
    <row r="3" spans="1:6" ht="15.75" customHeight="1" thickBot="1" x14ac:dyDescent="0.3">
      <c r="A3" s="513" t="s">
        <v>81</v>
      </c>
      <c r="B3" s="514"/>
      <c r="C3" s="514"/>
      <c r="D3" s="514"/>
      <c r="E3" s="515"/>
      <c r="F3" s="516"/>
    </row>
    <row r="4" spans="1:6" ht="15.75" customHeight="1" thickBot="1" x14ac:dyDescent="0.3">
      <c r="A4" s="11"/>
      <c r="B4" s="10"/>
      <c r="C4" s="10"/>
      <c r="D4" s="10"/>
      <c r="E4" s="12" t="s">
        <v>88</v>
      </c>
      <c r="F4" s="12" t="s">
        <v>177</v>
      </c>
    </row>
    <row r="5" spans="1:6" ht="15.75" thickBot="1" x14ac:dyDescent="0.3">
      <c r="A5" s="1"/>
      <c r="B5" s="497"/>
      <c r="C5" s="497"/>
      <c r="D5" s="497"/>
      <c r="E5" s="523"/>
      <c r="F5" s="523"/>
    </row>
    <row r="6" spans="1:6" ht="22.5" customHeight="1" thickBot="1" x14ac:dyDescent="0.4">
      <c r="A6" s="524" t="s">
        <v>96</v>
      </c>
      <c r="B6" s="525"/>
      <c r="C6" s="525"/>
      <c r="D6" s="525"/>
      <c r="E6" s="525"/>
      <c r="F6" s="526"/>
    </row>
    <row r="7" spans="1:6" ht="15" customHeight="1" thickBot="1" x14ac:dyDescent="0.3">
      <c r="A7" s="527"/>
      <c r="B7" s="523"/>
      <c r="C7" s="523"/>
      <c r="D7" s="523"/>
      <c r="E7" s="523"/>
      <c r="F7" s="523"/>
    </row>
    <row r="8" spans="1:6" s="14" customFormat="1" ht="39.950000000000003" customHeight="1" thickBot="1" x14ac:dyDescent="0.3">
      <c r="A8" s="528" t="s">
        <v>176</v>
      </c>
      <c r="B8" s="529"/>
      <c r="C8" s="530"/>
      <c r="D8" s="13" t="s">
        <v>4</v>
      </c>
      <c r="E8" s="13" t="s">
        <v>2</v>
      </c>
      <c r="F8" s="13" t="s">
        <v>3</v>
      </c>
    </row>
    <row r="9" spans="1:6" ht="30" customHeight="1" x14ac:dyDescent="0.25">
      <c r="A9" s="517" t="s">
        <v>77</v>
      </c>
      <c r="B9" s="518"/>
      <c r="C9" s="15">
        <v>20</v>
      </c>
      <c r="D9" s="16">
        <v>0.3</v>
      </c>
      <c r="E9" s="111">
        <f>C9-D9</f>
        <v>19.7</v>
      </c>
      <c r="F9" s="112">
        <f>C9+D9</f>
        <v>20.3</v>
      </c>
    </row>
    <row r="10" spans="1:6" ht="30" customHeight="1" x14ac:dyDescent="0.25">
      <c r="A10" s="519"/>
      <c r="B10" s="520"/>
      <c r="C10" s="20">
        <v>40</v>
      </c>
      <c r="D10" s="21">
        <v>0.3</v>
      </c>
      <c r="E10" s="113">
        <f t="shared" ref="E10:E13" si="0">C10-D10</f>
        <v>39.700000000000003</v>
      </c>
      <c r="F10" s="114">
        <f t="shared" ref="F10:F13" si="1">C10+D10</f>
        <v>40.299999999999997</v>
      </c>
    </row>
    <row r="11" spans="1:6" ht="30" customHeight="1" x14ac:dyDescent="0.25">
      <c r="A11" s="519"/>
      <c r="B11" s="520"/>
      <c r="C11" s="24">
        <v>60</v>
      </c>
      <c r="D11" s="25">
        <v>0.3</v>
      </c>
      <c r="E11" s="115">
        <f t="shared" si="0"/>
        <v>59.7</v>
      </c>
      <c r="F11" s="116">
        <f t="shared" si="1"/>
        <v>60.3</v>
      </c>
    </row>
    <row r="12" spans="1:6" ht="30" customHeight="1" x14ac:dyDescent="0.25">
      <c r="A12" s="519"/>
      <c r="B12" s="520"/>
      <c r="C12" s="20">
        <v>80</v>
      </c>
      <c r="D12" s="21">
        <v>0.3</v>
      </c>
      <c r="E12" s="113">
        <f t="shared" si="0"/>
        <v>79.7</v>
      </c>
      <c r="F12" s="114">
        <f t="shared" si="1"/>
        <v>80.3</v>
      </c>
    </row>
    <row r="13" spans="1:6" ht="30" customHeight="1" thickBot="1" x14ac:dyDescent="0.3">
      <c r="A13" s="521"/>
      <c r="B13" s="522"/>
      <c r="C13" s="29">
        <v>100</v>
      </c>
      <c r="D13" s="30">
        <v>0.3</v>
      </c>
      <c r="E13" s="102">
        <f t="shared" si="0"/>
        <v>99.7</v>
      </c>
      <c r="F13" s="103">
        <f t="shared" si="1"/>
        <v>100.3</v>
      </c>
    </row>
    <row r="14" spans="1:6" ht="15" customHeight="1" thickBot="1" x14ac:dyDescent="0.3">
      <c r="A14" s="1"/>
      <c r="B14" s="497"/>
      <c r="C14" s="497"/>
      <c r="D14" s="497"/>
      <c r="E14" s="497"/>
      <c r="F14" s="497"/>
    </row>
    <row r="15" spans="1:6" ht="39.950000000000003" customHeight="1" thickBot="1" x14ac:dyDescent="0.3">
      <c r="A15" s="531" t="s">
        <v>99</v>
      </c>
      <c r="B15" s="532"/>
      <c r="C15" s="533"/>
      <c r="D15" s="33" t="s">
        <v>4</v>
      </c>
      <c r="E15" s="33" t="s">
        <v>2</v>
      </c>
      <c r="F15" s="33" t="s">
        <v>3</v>
      </c>
    </row>
    <row r="16" spans="1:6" ht="30" customHeight="1" x14ac:dyDescent="0.25">
      <c r="A16" s="517" t="s">
        <v>76</v>
      </c>
      <c r="B16" s="518"/>
      <c r="C16" s="15">
        <v>2</v>
      </c>
      <c r="D16" s="34">
        <v>0.2</v>
      </c>
      <c r="E16" s="35">
        <f>C16-D16</f>
        <v>1.8</v>
      </c>
      <c r="F16" s="36">
        <f>C16+D16</f>
        <v>2.2000000000000002</v>
      </c>
    </row>
    <row r="17" spans="1:6" ht="30" customHeight="1" x14ac:dyDescent="0.25">
      <c r="A17" s="519"/>
      <c r="B17" s="520"/>
      <c r="C17" s="20">
        <v>5</v>
      </c>
      <c r="D17" s="37">
        <v>0.2</v>
      </c>
      <c r="E17" s="38">
        <f t="shared" ref="E17:E20" si="2">C17-D17</f>
        <v>4.8</v>
      </c>
      <c r="F17" s="39">
        <f t="shared" ref="F17:F20" si="3">C17+D17</f>
        <v>5.2</v>
      </c>
    </row>
    <row r="18" spans="1:6" ht="30" customHeight="1" x14ac:dyDescent="0.25">
      <c r="A18" s="519"/>
      <c r="B18" s="520"/>
      <c r="C18" s="15">
        <v>10</v>
      </c>
      <c r="D18" s="40">
        <v>0.2</v>
      </c>
      <c r="E18" s="41">
        <f t="shared" si="2"/>
        <v>9.8000000000000007</v>
      </c>
      <c r="F18" s="42">
        <f t="shared" si="3"/>
        <v>10.199999999999999</v>
      </c>
    </row>
    <row r="19" spans="1:6" ht="30" customHeight="1" x14ac:dyDescent="0.25">
      <c r="A19" s="519"/>
      <c r="B19" s="520"/>
      <c r="C19" s="20">
        <v>20</v>
      </c>
      <c r="D19" s="37">
        <v>0.2</v>
      </c>
      <c r="E19" s="38">
        <f t="shared" si="2"/>
        <v>19.8</v>
      </c>
      <c r="F19" s="39">
        <f t="shared" si="3"/>
        <v>20.2</v>
      </c>
    </row>
    <row r="20" spans="1:6" ht="30" customHeight="1" thickBot="1" x14ac:dyDescent="0.3">
      <c r="A20" s="521"/>
      <c r="B20" s="522"/>
      <c r="C20" s="43">
        <v>25</v>
      </c>
      <c r="D20" s="44">
        <v>0.2</v>
      </c>
      <c r="E20" s="45">
        <f t="shared" si="2"/>
        <v>24.8</v>
      </c>
      <c r="F20" s="46">
        <f t="shared" si="3"/>
        <v>25.2</v>
      </c>
    </row>
    <row r="21" spans="1:6" ht="15" customHeight="1" thickBot="1" x14ac:dyDescent="0.3">
      <c r="A21" s="1"/>
      <c r="B21" s="497"/>
      <c r="C21" s="497"/>
      <c r="D21" s="497"/>
      <c r="E21" s="497"/>
      <c r="F21" s="497"/>
    </row>
    <row r="22" spans="1:6" ht="39.950000000000003" customHeight="1" thickBot="1" x14ac:dyDescent="0.3">
      <c r="A22" s="534" t="s">
        <v>42</v>
      </c>
      <c r="B22" s="535"/>
      <c r="C22" s="536"/>
      <c r="D22" s="47" t="s">
        <v>4</v>
      </c>
      <c r="E22" s="47" t="s">
        <v>2</v>
      </c>
      <c r="F22" s="47" t="s">
        <v>3</v>
      </c>
    </row>
    <row r="23" spans="1:6" ht="30" customHeight="1" x14ac:dyDescent="0.25">
      <c r="A23" s="517" t="s">
        <v>75</v>
      </c>
      <c r="B23" s="518"/>
      <c r="C23" s="48">
        <v>10</v>
      </c>
      <c r="D23" s="49">
        <v>5.0000000000000001E-3</v>
      </c>
      <c r="E23" s="35">
        <f>C23*(1-D23)</f>
        <v>9.9499999999999993</v>
      </c>
      <c r="F23" s="35">
        <f>C23*(1+D23)</f>
        <v>10.049999999999999</v>
      </c>
    </row>
    <row r="24" spans="1:6" ht="30" customHeight="1" x14ac:dyDescent="0.25">
      <c r="A24" s="519"/>
      <c r="B24" s="520"/>
      <c r="C24" s="50">
        <v>50</v>
      </c>
      <c r="D24" s="51">
        <v>5.0000000000000001E-3</v>
      </c>
      <c r="E24" s="38">
        <f t="shared" ref="E24:E25" si="4">C24*(1-D24)</f>
        <v>49.75</v>
      </c>
      <c r="F24" s="39">
        <f t="shared" ref="F24:F25" si="5">C24*(1+D24)</f>
        <v>50.249999999999993</v>
      </c>
    </row>
    <row r="25" spans="1:6" ht="30" customHeight="1" thickBot="1" x14ac:dyDescent="0.3">
      <c r="A25" s="521"/>
      <c r="B25" s="522"/>
      <c r="C25" s="52">
        <v>100</v>
      </c>
      <c r="D25" s="53">
        <v>5.0000000000000001E-3</v>
      </c>
      <c r="E25" s="54">
        <f t="shared" si="4"/>
        <v>99.5</v>
      </c>
      <c r="F25" s="55">
        <f t="shared" si="5"/>
        <v>100.49999999999999</v>
      </c>
    </row>
    <row r="26" spans="1:6" ht="15" customHeight="1" thickBot="1" x14ac:dyDescent="0.3">
      <c r="A26" s="1"/>
      <c r="B26" s="497"/>
      <c r="C26" s="497"/>
      <c r="D26" s="497"/>
      <c r="E26" s="497"/>
      <c r="F26" s="497"/>
    </row>
    <row r="27" spans="1:6" ht="39.950000000000003" customHeight="1" thickBot="1" x14ac:dyDescent="0.3">
      <c r="A27" s="498" t="s">
        <v>109</v>
      </c>
      <c r="B27" s="499"/>
      <c r="C27" s="500"/>
      <c r="D27" s="47" t="s">
        <v>4</v>
      </c>
      <c r="E27" s="47" t="s">
        <v>2</v>
      </c>
      <c r="F27" s="47" t="s">
        <v>3</v>
      </c>
    </row>
    <row r="28" spans="1:6" ht="30" customHeight="1" x14ac:dyDescent="0.25">
      <c r="A28" s="501" t="s">
        <v>77</v>
      </c>
      <c r="B28" s="502"/>
      <c r="C28" s="259">
        <v>20</v>
      </c>
      <c r="D28" s="16">
        <v>0.3</v>
      </c>
      <c r="E28" s="111">
        <f>C28-D28</f>
        <v>19.7</v>
      </c>
      <c r="F28" s="112">
        <f>C28+D28</f>
        <v>20.3</v>
      </c>
    </row>
    <row r="29" spans="1:6" ht="30" customHeight="1" x14ac:dyDescent="0.25">
      <c r="A29" s="503"/>
      <c r="B29" s="504"/>
      <c r="C29" s="263">
        <v>40</v>
      </c>
      <c r="D29" s="21">
        <v>0.3</v>
      </c>
      <c r="E29" s="113">
        <f t="shared" ref="E29:E33" si="6">C29-D29</f>
        <v>39.700000000000003</v>
      </c>
      <c r="F29" s="114">
        <f t="shared" ref="F29:F33" si="7">C29+D29</f>
        <v>40.299999999999997</v>
      </c>
    </row>
    <row r="30" spans="1:6" ht="30" customHeight="1" x14ac:dyDescent="0.25">
      <c r="A30" s="503"/>
      <c r="B30" s="504"/>
      <c r="C30" s="262">
        <v>60</v>
      </c>
      <c r="D30" s="25">
        <v>0.3</v>
      </c>
      <c r="E30" s="115">
        <f t="shared" si="6"/>
        <v>59.7</v>
      </c>
      <c r="F30" s="116">
        <f t="shared" si="7"/>
        <v>60.3</v>
      </c>
    </row>
    <row r="31" spans="1:6" ht="30" customHeight="1" x14ac:dyDescent="0.25">
      <c r="A31" s="503"/>
      <c r="B31" s="504"/>
      <c r="C31" s="263">
        <v>80</v>
      </c>
      <c r="D31" s="21">
        <v>0.3</v>
      </c>
      <c r="E31" s="113">
        <f t="shared" si="6"/>
        <v>79.7</v>
      </c>
      <c r="F31" s="114">
        <f t="shared" si="7"/>
        <v>80.3</v>
      </c>
    </row>
    <row r="32" spans="1:6" ht="30" customHeight="1" x14ac:dyDescent="0.25">
      <c r="A32" s="503"/>
      <c r="B32" s="504"/>
      <c r="C32" s="272">
        <v>100</v>
      </c>
      <c r="D32" s="25">
        <v>0.3</v>
      </c>
      <c r="E32" s="115">
        <f t="shared" si="6"/>
        <v>99.7</v>
      </c>
      <c r="F32" s="116">
        <f t="shared" si="7"/>
        <v>100.3</v>
      </c>
    </row>
    <row r="33" spans="1:6" ht="30" customHeight="1" thickBot="1" x14ac:dyDescent="0.3">
      <c r="A33" s="505"/>
      <c r="B33" s="506"/>
      <c r="C33" s="273">
        <v>160</v>
      </c>
      <c r="D33" s="274">
        <v>0.3</v>
      </c>
      <c r="E33" s="117">
        <f t="shared" si="6"/>
        <v>159.69999999999999</v>
      </c>
      <c r="F33" s="118">
        <f t="shared" si="7"/>
        <v>160.30000000000001</v>
      </c>
    </row>
  </sheetData>
  <mergeCells count="16">
    <mergeCell ref="A26:F26"/>
    <mergeCell ref="A27:C27"/>
    <mergeCell ref="A28:B33"/>
    <mergeCell ref="B1:D2"/>
    <mergeCell ref="A3:F3"/>
    <mergeCell ref="A23:B25"/>
    <mergeCell ref="A5:F5"/>
    <mergeCell ref="A6:F6"/>
    <mergeCell ref="A7:F7"/>
    <mergeCell ref="A8:C8"/>
    <mergeCell ref="A9:B13"/>
    <mergeCell ref="A14:F14"/>
    <mergeCell ref="A15:C15"/>
    <mergeCell ref="A16:B20"/>
    <mergeCell ref="A21:F21"/>
    <mergeCell ref="A22:C22"/>
  </mergeCells>
  <pageMargins left="0.511811024" right="0.511811024" top="0.78740157499999996" bottom="0.78740157499999996" header="0.31496062000000002" footer="0.31496062000000002"/>
  <pageSetup paperSize="9" scale="77" fitToHeight="0" orientation="portrait" r:id="rId1"/>
  <headerFooter>
    <oddFooter>&amp;L_x000D_&amp;1#&amp;"Calibri"&amp;10&amp;K000000 Classificação da Informação: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CB5E1-30C9-445D-B7F7-3F55DDC1ECF3}">
  <sheetPr>
    <tabColor rgb="FFFFC000"/>
    <pageSetUpPr fitToPage="1"/>
  </sheetPr>
  <dimension ref="A1:O51"/>
  <sheetViews>
    <sheetView showGridLines="0" zoomScale="80" zoomScaleNormal="80" zoomScaleSheetLayoutView="100" workbookViewId="0">
      <selection activeCell="B1" sqref="B1:M2"/>
    </sheetView>
  </sheetViews>
  <sheetFormatPr defaultRowHeight="15" x14ac:dyDescent="0.25"/>
  <cols>
    <col min="1" max="1" width="23" customWidth="1"/>
    <col min="2" max="2" width="30.7109375" customWidth="1"/>
    <col min="3" max="3" width="11.140625" customWidth="1"/>
    <col min="4" max="5" width="13.28515625" customWidth="1"/>
    <col min="6" max="6" width="19.7109375" customWidth="1"/>
    <col min="7" max="7" width="18.28515625" customWidth="1"/>
    <col min="12" max="12" width="11.28515625" customWidth="1"/>
    <col min="13" max="13" width="10" bestFit="1" customWidth="1"/>
    <col min="14" max="14" width="19.140625" bestFit="1" customWidth="1"/>
    <col min="15" max="15" width="18.5703125" bestFit="1" customWidth="1"/>
  </cols>
  <sheetData>
    <row r="1" spans="1:15" ht="30" customHeight="1" thickBot="1" x14ac:dyDescent="0.3">
      <c r="A1" s="543"/>
      <c r="B1" s="507" t="s">
        <v>78</v>
      </c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9"/>
      <c r="N1" s="3" t="s">
        <v>82</v>
      </c>
      <c r="O1" s="4" t="s">
        <v>175</v>
      </c>
    </row>
    <row r="2" spans="1:15" ht="30" customHeight="1" thickBot="1" x14ac:dyDescent="0.3">
      <c r="A2" s="544"/>
      <c r="B2" s="540"/>
      <c r="C2" s="541"/>
      <c r="D2" s="541"/>
      <c r="E2" s="541"/>
      <c r="F2" s="541"/>
      <c r="G2" s="541"/>
      <c r="H2" s="541"/>
      <c r="I2" s="541"/>
      <c r="J2" s="541"/>
      <c r="K2" s="541"/>
      <c r="L2" s="541"/>
      <c r="M2" s="542"/>
      <c r="N2" s="3" t="s">
        <v>79</v>
      </c>
      <c r="O2" s="3" t="s">
        <v>80</v>
      </c>
    </row>
    <row r="3" spans="1:15" ht="15.75" customHeight="1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37"/>
    </row>
    <row r="4" spans="1:15" ht="15.75" thickBot="1" x14ac:dyDescent="0.3">
      <c r="A4" s="388"/>
      <c r="B4" s="388"/>
      <c r="C4" s="388"/>
      <c r="D4" s="388"/>
      <c r="E4" s="388"/>
      <c r="F4" s="388"/>
      <c r="G4" s="388"/>
      <c r="H4" s="388"/>
      <c r="I4" s="388"/>
      <c r="J4" s="388"/>
      <c r="K4" s="388"/>
      <c r="L4" s="388"/>
      <c r="M4" s="215"/>
      <c r="N4" s="389" t="s">
        <v>88</v>
      </c>
      <c r="O4" s="389" t="s">
        <v>177</v>
      </c>
    </row>
    <row r="5" spans="1:15" ht="53.25" customHeight="1" thickBot="1" x14ac:dyDescent="0.3">
      <c r="A5" s="551" t="s">
        <v>128</v>
      </c>
      <c r="B5" s="552"/>
      <c r="C5" s="552"/>
      <c r="D5" s="552"/>
      <c r="E5" s="552"/>
      <c r="F5" s="552"/>
      <c r="G5" s="552"/>
      <c r="H5" s="552"/>
      <c r="I5" s="552"/>
      <c r="J5" s="552"/>
      <c r="K5" s="552"/>
      <c r="L5" s="552"/>
      <c r="M5" s="552"/>
      <c r="N5" s="552"/>
      <c r="O5" s="553"/>
    </row>
    <row r="6" spans="1:15" ht="15" customHeight="1" thickBot="1" x14ac:dyDescent="0.3">
      <c r="A6" s="5"/>
    </row>
    <row r="7" spans="1:15" s="14" customFormat="1" ht="39.950000000000003" customHeight="1" thickBot="1" x14ac:dyDescent="0.3">
      <c r="A7" s="575" t="s">
        <v>148</v>
      </c>
      <c r="B7" s="576"/>
      <c r="C7" s="576"/>
      <c r="D7" s="577"/>
      <c r="E7" s="392" t="s">
        <v>4</v>
      </c>
      <c r="F7" s="392" t="s">
        <v>2</v>
      </c>
      <c r="G7" s="392" t="s">
        <v>3</v>
      </c>
      <c r="I7" s="569" t="s">
        <v>166</v>
      </c>
      <c r="J7" s="570"/>
      <c r="K7" s="570"/>
      <c r="L7" s="571"/>
      <c r="M7" s="108" t="s">
        <v>4</v>
      </c>
      <c r="N7" s="108" t="s">
        <v>2</v>
      </c>
      <c r="O7" s="108" t="s">
        <v>3</v>
      </c>
    </row>
    <row r="8" spans="1:15" ht="30" customHeight="1" x14ac:dyDescent="0.25">
      <c r="A8" s="517" t="s">
        <v>33</v>
      </c>
      <c r="B8" s="548"/>
      <c r="C8" s="518"/>
      <c r="D8" s="275">
        <v>70</v>
      </c>
      <c r="E8" s="276">
        <v>0.03</v>
      </c>
      <c r="F8" s="277">
        <f t="shared" ref="F8:F9" si="0">D8*(1-E8)</f>
        <v>67.899999999999991</v>
      </c>
      <c r="G8" s="278">
        <f t="shared" ref="G8:G9" si="1">D8*(1+E8)</f>
        <v>72.100000000000009</v>
      </c>
      <c r="I8" s="560" t="s">
        <v>54</v>
      </c>
      <c r="J8" s="561"/>
      <c r="K8" s="562"/>
      <c r="L8" s="109">
        <v>50</v>
      </c>
      <c r="M8" s="110">
        <v>0.15</v>
      </c>
      <c r="N8" s="111">
        <f>L8*(1-M8)</f>
        <v>42.5</v>
      </c>
      <c r="O8" s="111">
        <f>L8*(1+M8)</f>
        <v>57.499999999999993</v>
      </c>
    </row>
    <row r="9" spans="1:15" ht="30" customHeight="1" x14ac:dyDescent="0.25">
      <c r="A9" s="519"/>
      <c r="B9" s="549"/>
      <c r="C9" s="520"/>
      <c r="D9" s="279">
        <v>83</v>
      </c>
      <c r="E9" s="134">
        <v>0.03</v>
      </c>
      <c r="F9" s="280">
        <f t="shared" si="0"/>
        <v>80.509999999999991</v>
      </c>
      <c r="G9" s="281">
        <f t="shared" si="1"/>
        <v>85.49</v>
      </c>
      <c r="I9" s="563"/>
      <c r="J9" s="564"/>
      <c r="K9" s="565"/>
      <c r="L9" s="20">
        <v>70</v>
      </c>
      <c r="M9" s="64">
        <v>0.15</v>
      </c>
      <c r="N9" s="113">
        <f>L9*(1-M9)</f>
        <v>59.5</v>
      </c>
      <c r="O9" s="114">
        <f>L9*(1+M9)</f>
        <v>80.5</v>
      </c>
    </row>
    <row r="10" spans="1:15" ht="30" customHeight="1" thickBot="1" x14ac:dyDescent="0.3">
      <c r="A10" s="521"/>
      <c r="B10" s="550"/>
      <c r="C10" s="522"/>
      <c r="D10" s="60">
        <v>97</v>
      </c>
      <c r="E10" s="61">
        <v>0.03</v>
      </c>
      <c r="F10" s="62">
        <f>D10*(1-E10)</f>
        <v>94.09</v>
      </c>
      <c r="G10" s="63">
        <f>D10*(1+E10)</f>
        <v>99.91</v>
      </c>
      <c r="I10" s="563"/>
      <c r="J10" s="564"/>
      <c r="K10" s="565"/>
      <c r="L10" s="24">
        <v>150</v>
      </c>
      <c r="M10" s="92">
        <v>0.15</v>
      </c>
      <c r="N10" s="115">
        <f>L10*(1-M10)</f>
        <v>127.5</v>
      </c>
      <c r="O10" s="116">
        <f>L10*(1+M10)</f>
        <v>172.5</v>
      </c>
    </row>
    <row r="11" spans="1:15" ht="30" customHeight="1" thickBot="1" x14ac:dyDescent="0.3">
      <c r="A11" s="517" t="s">
        <v>34</v>
      </c>
      <c r="B11" s="548"/>
      <c r="C11" s="518"/>
      <c r="D11" s="82">
        <v>30</v>
      </c>
      <c r="E11" s="285">
        <v>5</v>
      </c>
      <c r="F11" s="84">
        <f>D11-E11</f>
        <v>25</v>
      </c>
      <c r="G11" s="85">
        <f>D11+5</f>
        <v>35</v>
      </c>
      <c r="I11" s="566"/>
      <c r="J11" s="567"/>
      <c r="K11" s="568"/>
      <c r="L11" s="88">
        <v>200</v>
      </c>
      <c r="M11" s="65">
        <v>0.15</v>
      </c>
      <c r="N11" s="117">
        <f>L11*(1-M11)</f>
        <v>170</v>
      </c>
      <c r="O11" s="118">
        <f>L11*(1+M11)</f>
        <v>229.99999999999997</v>
      </c>
    </row>
    <row r="12" spans="1:15" ht="30" customHeight="1" x14ac:dyDescent="0.25">
      <c r="A12" s="519"/>
      <c r="B12" s="549"/>
      <c r="C12" s="520"/>
      <c r="D12" s="275">
        <v>100</v>
      </c>
      <c r="E12" s="288">
        <v>5</v>
      </c>
      <c r="F12" s="289">
        <f t="shared" ref="F12:F19" si="2">D12-E12</f>
        <v>95</v>
      </c>
      <c r="G12" s="290">
        <f t="shared" ref="G12:G19" si="3">D12+5</f>
        <v>105</v>
      </c>
    </row>
    <row r="13" spans="1:15" ht="30" customHeight="1" thickBot="1" x14ac:dyDescent="0.3">
      <c r="A13" s="521"/>
      <c r="B13" s="550"/>
      <c r="C13" s="522"/>
      <c r="D13" s="20">
        <v>240</v>
      </c>
      <c r="E13" s="21">
        <v>5</v>
      </c>
      <c r="F13" s="286">
        <f t="shared" si="2"/>
        <v>235</v>
      </c>
      <c r="G13" s="287">
        <f t="shared" si="3"/>
        <v>245</v>
      </c>
    </row>
    <row r="14" spans="1:15" ht="30" customHeight="1" x14ac:dyDescent="0.25">
      <c r="A14" s="517" t="s">
        <v>35</v>
      </c>
      <c r="B14" s="548"/>
      <c r="C14" s="518"/>
      <c r="D14" s="294">
        <v>60</v>
      </c>
      <c r="E14" s="295">
        <v>5</v>
      </c>
      <c r="F14" s="296">
        <f>D14-E14</f>
        <v>55</v>
      </c>
      <c r="G14" s="297">
        <f t="shared" si="3"/>
        <v>65</v>
      </c>
    </row>
    <row r="15" spans="1:15" ht="30" customHeight="1" x14ac:dyDescent="0.25">
      <c r="A15" s="519"/>
      <c r="B15" s="549"/>
      <c r="C15" s="520"/>
      <c r="D15" s="279">
        <v>120</v>
      </c>
      <c r="E15" s="87">
        <v>5</v>
      </c>
      <c r="F15" s="307">
        <f>D15-E15</f>
        <v>115</v>
      </c>
      <c r="G15" s="308">
        <f t="shared" si="3"/>
        <v>125</v>
      </c>
    </row>
    <row r="16" spans="1:15" ht="30" customHeight="1" thickBot="1" x14ac:dyDescent="0.3">
      <c r="A16" s="521"/>
      <c r="B16" s="550"/>
      <c r="C16" s="522"/>
      <c r="D16" s="255">
        <v>200</v>
      </c>
      <c r="E16" s="309">
        <v>5</v>
      </c>
      <c r="F16" s="310">
        <f>D16-E16</f>
        <v>195</v>
      </c>
      <c r="G16" s="311">
        <f t="shared" si="3"/>
        <v>205</v>
      </c>
    </row>
    <row r="17" spans="1:7" ht="30" customHeight="1" x14ac:dyDescent="0.25">
      <c r="A17" s="517" t="s">
        <v>36</v>
      </c>
      <c r="B17" s="548"/>
      <c r="C17" s="518"/>
      <c r="D17" s="82">
        <v>30</v>
      </c>
      <c r="E17" s="83">
        <v>5</v>
      </c>
      <c r="F17" s="84">
        <f t="shared" si="2"/>
        <v>25</v>
      </c>
      <c r="G17" s="85">
        <f t="shared" si="3"/>
        <v>35</v>
      </c>
    </row>
    <row r="18" spans="1:7" ht="30" customHeight="1" x14ac:dyDescent="0.25">
      <c r="A18" s="519"/>
      <c r="B18" s="549"/>
      <c r="C18" s="520"/>
      <c r="D18" s="24">
        <v>80</v>
      </c>
      <c r="E18" s="86">
        <v>5</v>
      </c>
      <c r="F18" s="75">
        <f t="shared" si="2"/>
        <v>75</v>
      </c>
      <c r="G18" s="76">
        <f t="shared" si="3"/>
        <v>85</v>
      </c>
    </row>
    <row r="19" spans="1:7" ht="30" customHeight="1" thickBot="1" x14ac:dyDescent="0.3">
      <c r="A19" s="521"/>
      <c r="B19" s="550"/>
      <c r="C19" s="522"/>
      <c r="D19" s="88">
        <v>150</v>
      </c>
      <c r="E19" s="291">
        <v>5</v>
      </c>
      <c r="F19" s="292">
        <f t="shared" si="2"/>
        <v>145</v>
      </c>
      <c r="G19" s="260">
        <f t="shared" si="3"/>
        <v>155</v>
      </c>
    </row>
    <row r="20" spans="1:7" ht="30" customHeight="1" x14ac:dyDescent="0.25">
      <c r="A20" s="560" t="s">
        <v>37</v>
      </c>
      <c r="B20" s="561"/>
      <c r="C20" s="562"/>
      <c r="D20" s="294">
        <v>15</v>
      </c>
      <c r="E20" s="295">
        <v>3</v>
      </c>
      <c r="F20" s="296">
        <f>D20-E20</f>
        <v>12</v>
      </c>
      <c r="G20" s="297">
        <f>D20+E20</f>
        <v>18</v>
      </c>
    </row>
    <row r="21" spans="1:7" ht="30" customHeight="1" x14ac:dyDescent="0.25">
      <c r="A21" s="563"/>
      <c r="B21" s="564"/>
      <c r="C21" s="565"/>
      <c r="D21" s="20">
        <v>20</v>
      </c>
      <c r="E21" s="293">
        <v>3</v>
      </c>
      <c r="F21" s="286">
        <f t="shared" ref="F21" si="4">D21-E21</f>
        <v>17</v>
      </c>
      <c r="G21" s="287">
        <f t="shared" ref="G21" si="5">D21+E21</f>
        <v>23</v>
      </c>
    </row>
    <row r="22" spans="1:7" ht="30" customHeight="1" thickBot="1" x14ac:dyDescent="0.3">
      <c r="A22" s="566"/>
      <c r="B22" s="567"/>
      <c r="C22" s="568"/>
      <c r="D22" s="270">
        <v>30</v>
      </c>
      <c r="E22" s="298">
        <v>3</v>
      </c>
      <c r="F22" s="299">
        <f>D22-E22</f>
        <v>27</v>
      </c>
      <c r="G22" s="300">
        <f>D22+E22</f>
        <v>33</v>
      </c>
    </row>
    <row r="23" spans="1:7" ht="39.950000000000003" customHeight="1" thickBot="1" x14ac:dyDescent="0.3">
      <c r="A23" s="557" t="s">
        <v>83</v>
      </c>
      <c r="B23" s="558"/>
      <c r="C23" s="558"/>
      <c r="D23" s="559"/>
      <c r="E23" s="57" t="s">
        <v>4</v>
      </c>
      <c r="F23" s="57" t="s">
        <v>2</v>
      </c>
      <c r="G23" s="57" t="s">
        <v>3</v>
      </c>
    </row>
    <row r="24" spans="1:7" ht="30" customHeight="1" x14ac:dyDescent="0.25">
      <c r="A24" s="560" t="s">
        <v>167</v>
      </c>
      <c r="B24" s="561"/>
      <c r="C24" s="562"/>
      <c r="D24" s="82">
        <v>30</v>
      </c>
      <c r="E24" s="89">
        <v>0.15</v>
      </c>
      <c r="F24" s="90">
        <f t="shared" ref="F24:F34" si="6">D24*(1-E24)</f>
        <v>25.5</v>
      </c>
      <c r="G24" s="91">
        <f>D24*(1+E24)</f>
        <v>34.5</v>
      </c>
    </row>
    <row r="25" spans="1:7" ht="30" customHeight="1" x14ac:dyDescent="0.25">
      <c r="A25" s="563"/>
      <c r="B25" s="564"/>
      <c r="C25" s="565"/>
      <c r="D25" s="24">
        <v>50</v>
      </c>
      <c r="E25" s="92">
        <v>0.15</v>
      </c>
      <c r="F25" s="93">
        <f t="shared" si="6"/>
        <v>42.5</v>
      </c>
      <c r="G25" s="94">
        <f>D25*(1+E25)</f>
        <v>57.499999999999993</v>
      </c>
    </row>
    <row r="26" spans="1:7" ht="30" customHeight="1" x14ac:dyDescent="0.25">
      <c r="A26" s="563"/>
      <c r="B26" s="564"/>
      <c r="C26" s="565"/>
      <c r="D26" s="58">
        <v>100</v>
      </c>
      <c r="E26" s="95">
        <v>0.15</v>
      </c>
      <c r="F26" s="96">
        <f t="shared" si="6"/>
        <v>85</v>
      </c>
      <c r="G26" s="97">
        <f>D26*(1+E26)</f>
        <v>114.99999999999999</v>
      </c>
    </row>
    <row r="27" spans="1:7" ht="30" customHeight="1" x14ac:dyDescent="0.25">
      <c r="A27" s="563"/>
      <c r="B27" s="564"/>
      <c r="C27" s="565"/>
      <c r="D27" s="24">
        <v>150</v>
      </c>
      <c r="E27" s="92">
        <v>0.15</v>
      </c>
      <c r="F27" s="93">
        <f t="shared" si="6"/>
        <v>127.5</v>
      </c>
      <c r="G27" s="94">
        <f t="shared" ref="G27:G30" si="7">D27*(1+E27)</f>
        <v>172.5</v>
      </c>
    </row>
    <row r="28" spans="1:7" ht="30" customHeight="1" thickBot="1" x14ac:dyDescent="0.3">
      <c r="A28" s="566"/>
      <c r="B28" s="567"/>
      <c r="C28" s="568"/>
      <c r="D28" s="88">
        <v>200</v>
      </c>
      <c r="E28" s="98">
        <v>0.15</v>
      </c>
      <c r="F28" s="99">
        <f t="shared" si="6"/>
        <v>170</v>
      </c>
      <c r="G28" s="100">
        <f>D28*(1+E28)</f>
        <v>229.99999999999997</v>
      </c>
    </row>
    <row r="29" spans="1:7" ht="39.950000000000003" customHeight="1" thickBot="1" x14ac:dyDescent="0.3">
      <c r="A29" s="554" t="s">
        <v>129</v>
      </c>
      <c r="B29" s="555"/>
      <c r="C29" s="555"/>
      <c r="D29" s="556"/>
      <c r="E29" s="390" t="s">
        <v>4</v>
      </c>
      <c r="F29" s="390" t="s">
        <v>2</v>
      </c>
      <c r="G29" s="390" t="s">
        <v>3</v>
      </c>
    </row>
    <row r="30" spans="1:7" ht="30" customHeight="1" x14ac:dyDescent="0.25">
      <c r="A30" s="560" t="s">
        <v>168</v>
      </c>
      <c r="B30" s="561"/>
      <c r="C30" s="562"/>
      <c r="D30" s="82">
        <v>50</v>
      </c>
      <c r="E30" s="89">
        <v>0.15</v>
      </c>
      <c r="F30" s="90">
        <f t="shared" si="6"/>
        <v>42.5</v>
      </c>
      <c r="G30" s="91">
        <f t="shared" si="7"/>
        <v>57.499999999999993</v>
      </c>
    </row>
    <row r="31" spans="1:7" ht="30" customHeight="1" x14ac:dyDescent="0.25">
      <c r="A31" s="563"/>
      <c r="B31" s="564"/>
      <c r="C31" s="565"/>
      <c r="D31" s="24">
        <v>70</v>
      </c>
      <c r="E31" s="92">
        <v>0.15</v>
      </c>
      <c r="F31" s="93">
        <f t="shared" si="6"/>
        <v>59.5</v>
      </c>
      <c r="G31" s="94">
        <f t="shared" ref="G31:G44" si="8">D31*(1+E31)</f>
        <v>80.5</v>
      </c>
    </row>
    <row r="32" spans="1:7" ht="30" customHeight="1" x14ac:dyDescent="0.25">
      <c r="A32" s="563"/>
      <c r="B32" s="564"/>
      <c r="C32" s="565"/>
      <c r="D32" s="58">
        <v>85</v>
      </c>
      <c r="E32" s="95">
        <v>0.15</v>
      </c>
      <c r="F32" s="96">
        <f t="shared" si="6"/>
        <v>72.25</v>
      </c>
      <c r="G32" s="97">
        <f t="shared" si="8"/>
        <v>97.749999999999986</v>
      </c>
    </row>
    <row r="33" spans="1:7" ht="30" customHeight="1" x14ac:dyDescent="0.25">
      <c r="A33" s="563"/>
      <c r="B33" s="564"/>
      <c r="C33" s="565"/>
      <c r="D33" s="24">
        <v>120</v>
      </c>
      <c r="E33" s="92">
        <v>0.15</v>
      </c>
      <c r="F33" s="93">
        <f t="shared" si="6"/>
        <v>102</v>
      </c>
      <c r="G33" s="94">
        <f t="shared" si="8"/>
        <v>138</v>
      </c>
    </row>
    <row r="34" spans="1:7" ht="30" customHeight="1" x14ac:dyDescent="0.25">
      <c r="A34" s="563"/>
      <c r="B34" s="564"/>
      <c r="C34" s="565"/>
      <c r="D34" s="20">
        <v>150</v>
      </c>
      <c r="E34" s="64">
        <v>0.15</v>
      </c>
      <c r="F34" s="253">
        <f t="shared" si="6"/>
        <v>127.5</v>
      </c>
      <c r="G34" s="254">
        <f t="shared" si="8"/>
        <v>172.5</v>
      </c>
    </row>
    <row r="35" spans="1:7" ht="30" customHeight="1" thickBot="1" x14ac:dyDescent="0.3">
      <c r="A35" s="566"/>
      <c r="B35" s="567"/>
      <c r="C35" s="568"/>
      <c r="D35" s="255">
        <v>200</v>
      </c>
      <c r="E35" s="256">
        <v>0.15</v>
      </c>
      <c r="F35" s="257">
        <f t="shared" ref="F35" si="9">D35*(1-E35)</f>
        <v>170</v>
      </c>
      <c r="G35" s="258">
        <f t="shared" si="8"/>
        <v>229.99999999999997</v>
      </c>
    </row>
    <row r="36" spans="1:7" ht="30" customHeight="1" x14ac:dyDescent="0.25">
      <c r="A36" s="560" t="s">
        <v>169</v>
      </c>
      <c r="B36" s="561"/>
      <c r="C36" s="562"/>
      <c r="D36" s="82">
        <v>50</v>
      </c>
      <c r="E36" s="89">
        <v>0.15</v>
      </c>
      <c r="F36" s="90">
        <f t="shared" ref="F36:F44" si="10">D36*(1-E36)</f>
        <v>42.5</v>
      </c>
      <c r="G36" s="91">
        <f t="shared" si="8"/>
        <v>57.499999999999993</v>
      </c>
    </row>
    <row r="37" spans="1:7" ht="30" customHeight="1" x14ac:dyDescent="0.25">
      <c r="A37" s="563"/>
      <c r="B37" s="564"/>
      <c r="C37" s="565"/>
      <c r="D37" s="24">
        <v>70</v>
      </c>
      <c r="E37" s="92">
        <v>0.15</v>
      </c>
      <c r="F37" s="93">
        <f t="shared" si="10"/>
        <v>59.5</v>
      </c>
      <c r="G37" s="94">
        <f t="shared" si="8"/>
        <v>80.5</v>
      </c>
    </row>
    <row r="38" spans="1:7" ht="30" customHeight="1" x14ac:dyDescent="0.25">
      <c r="A38" s="563"/>
      <c r="B38" s="564"/>
      <c r="C38" s="565"/>
      <c r="D38" s="58">
        <v>100</v>
      </c>
      <c r="E38" s="95">
        <v>0.15</v>
      </c>
      <c r="F38" s="96">
        <f t="shared" si="10"/>
        <v>85</v>
      </c>
      <c r="G38" s="97">
        <f t="shared" si="8"/>
        <v>114.99999999999999</v>
      </c>
    </row>
    <row r="39" spans="1:7" ht="30" customHeight="1" thickBot="1" x14ac:dyDescent="0.3">
      <c r="A39" s="566"/>
      <c r="B39" s="567"/>
      <c r="C39" s="568"/>
      <c r="D39" s="79">
        <v>200</v>
      </c>
      <c r="E39" s="101">
        <v>0.15</v>
      </c>
      <c r="F39" s="102">
        <f t="shared" si="10"/>
        <v>170</v>
      </c>
      <c r="G39" s="103">
        <f t="shared" si="8"/>
        <v>229.99999999999997</v>
      </c>
    </row>
    <row r="40" spans="1:7" ht="60" customHeight="1" x14ac:dyDescent="0.25">
      <c r="A40" s="560" t="s">
        <v>171</v>
      </c>
      <c r="B40" s="561"/>
      <c r="C40" s="562"/>
      <c r="D40" s="82">
        <v>50</v>
      </c>
      <c r="E40" s="89">
        <v>0.15</v>
      </c>
      <c r="F40" s="90">
        <f t="shared" si="10"/>
        <v>42.5</v>
      </c>
      <c r="G40" s="91">
        <f t="shared" si="8"/>
        <v>57.499999999999993</v>
      </c>
    </row>
    <row r="41" spans="1:7" ht="59.25" customHeight="1" thickBot="1" x14ac:dyDescent="0.3">
      <c r="A41" s="566"/>
      <c r="B41" s="567"/>
      <c r="C41" s="568"/>
      <c r="D41" s="79">
        <v>150</v>
      </c>
      <c r="E41" s="101">
        <v>0.15</v>
      </c>
      <c r="F41" s="102">
        <f t="shared" si="10"/>
        <v>127.5</v>
      </c>
      <c r="G41" s="103">
        <f t="shared" si="8"/>
        <v>172.5</v>
      </c>
    </row>
    <row r="42" spans="1:7" ht="30" customHeight="1" x14ac:dyDescent="0.25">
      <c r="A42" s="560" t="s">
        <v>170</v>
      </c>
      <c r="B42" s="561"/>
      <c r="C42" s="562"/>
      <c r="D42" s="82">
        <v>50</v>
      </c>
      <c r="E42" s="89">
        <v>0.15</v>
      </c>
      <c r="F42" s="90">
        <f t="shared" si="10"/>
        <v>42.5</v>
      </c>
      <c r="G42" s="91">
        <f t="shared" si="8"/>
        <v>57.499999999999993</v>
      </c>
    </row>
    <row r="43" spans="1:7" ht="30" customHeight="1" x14ac:dyDescent="0.25">
      <c r="A43" s="563"/>
      <c r="B43" s="564"/>
      <c r="C43" s="565"/>
      <c r="D43" s="24">
        <v>150</v>
      </c>
      <c r="E43" s="92">
        <v>0.15</v>
      </c>
      <c r="F43" s="93">
        <f t="shared" si="10"/>
        <v>127.5</v>
      </c>
      <c r="G43" s="94">
        <f t="shared" si="8"/>
        <v>172.5</v>
      </c>
    </row>
    <row r="44" spans="1:7" ht="30" customHeight="1" thickBot="1" x14ac:dyDescent="0.3">
      <c r="A44" s="566"/>
      <c r="B44" s="567"/>
      <c r="C44" s="568"/>
      <c r="D44" s="58">
        <v>200</v>
      </c>
      <c r="E44" s="95">
        <v>0.15</v>
      </c>
      <c r="F44" s="96">
        <f t="shared" si="10"/>
        <v>170</v>
      </c>
      <c r="G44" s="97">
        <f t="shared" si="8"/>
        <v>229.99999999999997</v>
      </c>
    </row>
    <row r="45" spans="1:7" ht="39.950000000000003" customHeight="1" thickBot="1" x14ac:dyDescent="0.3">
      <c r="A45" s="572" t="s">
        <v>130</v>
      </c>
      <c r="B45" s="573"/>
      <c r="C45" s="573"/>
      <c r="D45" s="574"/>
      <c r="E45" s="391" t="s">
        <v>4</v>
      </c>
      <c r="F45" s="391" t="s">
        <v>2</v>
      </c>
      <c r="G45" s="391" t="s">
        <v>3</v>
      </c>
    </row>
    <row r="46" spans="1:7" ht="46.5" customHeight="1" thickBot="1" x14ac:dyDescent="0.3">
      <c r="A46" s="545" t="s">
        <v>53</v>
      </c>
      <c r="B46" s="546"/>
      <c r="C46" s="547"/>
      <c r="D46" s="104" t="s">
        <v>45</v>
      </c>
      <c r="E46" s="105">
        <v>5</v>
      </c>
      <c r="F46" s="106">
        <v>30</v>
      </c>
      <c r="G46" s="107">
        <v>40</v>
      </c>
    </row>
    <row r="47" spans="1:7" ht="39.950000000000003" customHeight="1" x14ac:dyDescent="0.25"/>
    <row r="48" spans="1:7" ht="30" customHeight="1" x14ac:dyDescent="0.25"/>
    <row r="49" ht="30" customHeight="1" x14ac:dyDescent="0.25"/>
    <row r="50" ht="30" customHeight="1" x14ac:dyDescent="0.25"/>
    <row r="51" ht="30" customHeight="1" thickBot="1" x14ac:dyDescent="0.3"/>
  </sheetData>
  <mergeCells count="21">
    <mergeCell ref="I7:L7"/>
    <mergeCell ref="I8:K11"/>
    <mergeCell ref="A45:D45"/>
    <mergeCell ref="A7:D7"/>
    <mergeCell ref="A42:C44"/>
    <mergeCell ref="A3:O3"/>
    <mergeCell ref="B1:M2"/>
    <mergeCell ref="A1:A2"/>
    <mergeCell ref="A46:C46"/>
    <mergeCell ref="A17:C19"/>
    <mergeCell ref="A14:C16"/>
    <mergeCell ref="A5:O5"/>
    <mergeCell ref="A29:D29"/>
    <mergeCell ref="A23:D23"/>
    <mergeCell ref="A20:C22"/>
    <mergeCell ref="A36:C39"/>
    <mergeCell ref="A40:C41"/>
    <mergeCell ref="A24:C28"/>
    <mergeCell ref="A30:C35"/>
    <mergeCell ref="A8:C10"/>
    <mergeCell ref="A11:C13"/>
  </mergeCells>
  <pageMargins left="0.511811024" right="0.511811024" top="0.78740157499999996" bottom="0.78740157499999996" header="0.31496062000000002" footer="0.31496062000000002"/>
  <pageSetup paperSize="9" scale="41" fitToHeight="0" orientation="portrait" r:id="rId1"/>
  <headerFooter>
    <oddFooter>&amp;L_x000D_&amp;1#&amp;"Calibri"&amp;10&amp;K000000 Classificação da Informação: Interno</oddFooter>
  </headerFooter>
  <rowBreaks count="1" manualBreakCount="1">
    <brk id="46" max="1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7472-CD74-4A1D-BC61-27988B7D8AD5}">
  <sheetPr>
    <tabColor rgb="FFFFC000"/>
    <pageSetUpPr fitToPage="1"/>
  </sheetPr>
  <dimension ref="A1:X27"/>
  <sheetViews>
    <sheetView showGridLines="0" zoomScale="80" zoomScaleNormal="80" zoomScaleSheetLayoutView="100" workbookViewId="0">
      <selection activeCell="B1" sqref="B1:I2"/>
    </sheetView>
  </sheetViews>
  <sheetFormatPr defaultRowHeight="15" x14ac:dyDescent="0.25"/>
  <cols>
    <col min="1" max="1" width="30.7109375" customWidth="1"/>
    <col min="2" max="5" width="15.7109375" customWidth="1"/>
    <col min="6" max="6" width="6.28515625" customWidth="1"/>
    <col min="7" max="7" width="30.7109375" customWidth="1"/>
    <col min="8" max="10" width="15.7109375" customWidth="1"/>
    <col min="11" max="11" width="18.28515625" customWidth="1"/>
  </cols>
  <sheetData>
    <row r="1" spans="1:24" ht="30" customHeight="1" thickBot="1" x14ac:dyDescent="0.3">
      <c r="A1" s="2"/>
      <c r="B1" s="507" t="s">
        <v>78</v>
      </c>
      <c r="C1" s="538"/>
      <c r="D1" s="538"/>
      <c r="E1" s="538"/>
      <c r="F1" s="538"/>
      <c r="G1" s="538"/>
      <c r="H1" s="538"/>
      <c r="I1" s="539"/>
      <c r="J1" s="3" t="s">
        <v>82</v>
      </c>
      <c r="K1" s="4" t="s">
        <v>175</v>
      </c>
    </row>
    <row r="2" spans="1:24" ht="30" customHeight="1" thickBot="1" x14ac:dyDescent="0.3">
      <c r="A2" s="163"/>
      <c r="B2" s="540"/>
      <c r="C2" s="541"/>
      <c r="D2" s="541"/>
      <c r="E2" s="541"/>
      <c r="F2" s="541"/>
      <c r="G2" s="541"/>
      <c r="H2" s="541"/>
      <c r="I2" s="542"/>
      <c r="J2" s="3" t="s">
        <v>79</v>
      </c>
      <c r="K2" s="215" t="s">
        <v>80</v>
      </c>
    </row>
    <row r="3" spans="1:24" ht="15.75" customHeight="1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37"/>
    </row>
    <row r="4" spans="1:24" ht="15.75" customHeight="1" thickBot="1" x14ac:dyDescent="0.3">
      <c r="A4" s="8"/>
      <c r="B4" s="9"/>
      <c r="C4" s="9"/>
      <c r="D4" s="9"/>
      <c r="E4" s="9"/>
      <c r="F4" s="9"/>
      <c r="G4" s="9"/>
      <c r="H4" s="9"/>
      <c r="I4" s="56"/>
      <c r="J4" s="119" t="s">
        <v>88</v>
      </c>
      <c r="K4" s="119" t="s">
        <v>177</v>
      </c>
    </row>
    <row r="5" spans="1:24" ht="15.75" customHeight="1" thickBo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24" ht="71.25" customHeight="1" thickBot="1" x14ac:dyDescent="0.3">
      <c r="A6" s="551" t="s">
        <v>121</v>
      </c>
      <c r="B6" s="552"/>
      <c r="C6" s="552"/>
      <c r="D6" s="552"/>
      <c r="E6" s="552"/>
      <c r="F6" s="552"/>
      <c r="G6" s="552"/>
      <c r="H6" s="552"/>
      <c r="I6" s="552"/>
      <c r="J6" s="552"/>
      <c r="K6" s="553"/>
    </row>
    <row r="7" spans="1:24" ht="15.75" thickBot="1" x14ac:dyDescent="0.3"/>
    <row r="8" spans="1:24" s="14" customFormat="1" ht="50.1" customHeight="1" thickBot="1" x14ac:dyDescent="0.3">
      <c r="A8" s="581" t="s">
        <v>122</v>
      </c>
      <c r="B8" s="582"/>
      <c r="C8" s="216" t="s">
        <v>4</v>
      </c>
      <c r="D8" s="314" t="s">
        <v>2</v>
      </c>
      <c r="E8" s="314" t="s">
        <v>3</v>
      </c>
      <c r="G8" s="581" t="s">
        <v>123</v>
      </c>
      <c r="H8" s="582"/>
      <c r="I8" s="216" t="s">
        <v>4</v>
      </c>
      <c r="J8" s="314" t="s">
        <v>2</v>
      </c>
      <c r="K8" s="314" t="s">
        <v>3</v>
      </c>
      <c r="M8" s="586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</row>
    <row r="9" spans="1:24" ht="30" customHeight="1" x14ac:dyDescent="0.25">
      <c r="A9" s="579" t="s">
        <v>33</v>
      </c>
      <c r="B9" s="275">
        <v>70</v>
      </c>
      <c r="C9" s="276">
        <v>0.03</v>
      </c>
      <c r="D9" s="313">
        <f t="shared" ref="D9:D10" si="0">B9*(1-C9)</f>
        <v>67.899999999999991</v>
      </c>
      <c r="E9" s="315">
        <f t="shared" ref="E9:E10" si="1">B9*(1+C9)</f>
        <v>72.100000000000009</v>
      </c>
      <c r="G9" s="579" t="s">
        <v>33</v>
      </c>
      <c r="H9" s="275">
        <v>70</v>
      </c>
      <c r="I9" s="276">
        <v>0.03</v>
      </c>
      <c r="J9" s="313">
        <f t="shared" ref="J9:J10" si="2">H9*(1-I9)</f>
        <v>67.899999999999991</v>
      </c>
      <c r="K9" s="315">
        <f t="shared" ref="K9:K10" si="3">H9*(1+I9)</f>
        <v>72.100000000000009</v>
      </c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</row>
    <row r="10" spans="1:24" ht="30" customHeight="1" x14ac:dyDescent="0.25">
      <c r="A10" s="579"/>
      <c r="B10" s="279">
        <v>83</v>
      </c>
      <c r="C10" s="134">
        <v>0.03</v>
      </c>
      <c r="D10" s="280">
        <f t="shared" si="0"/>
        <v>80.509999999999991</v>
      </c>
      <c r="E10" s="281">
        <f t="shared" si="1"/>
        <v>85.49</v>
      </c>
      <c r="G10" s="579"/>
      <c r="H10" s="279">
        <v>83</v>
      </c>
      <c r="I10" s="134">
        <v>0.03</v>
      </c>
      <c r="J10" s="280">
        <f t="shared" si="2"/>
        <v>80.509999999999991</v>
      </c>
      <c r="K10" s="281">
        <f t="shared" si="3"/>
        <v>85.49</v>
      </c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</row>
    <row r="11" spans="1:24" ht="30" customHeight="1" thickBot="1" x14ac:dyDescent="0.3">
      <c r="A11" s="580"/>
      <c r="B11" s="60">
        <v>97</v>
      </c>
      <c r="C11" s="61">
        <v>0.03</v>
      </c>
      <c r="D11" s="62">
        <f>B11*(1-C11)</f>
        <v>94.09</v>
      </c>
      <c r="E11" s="63">
        <f>B11*(1+C11)</f>
        <v>99.91</v>
      </c>
      <c r="G11" s="580"/>
      <c r="H11" s="60">
        <v>97</v>
      </c>
      <c r="I11" s="61">
        <v>0.03</v>
      </c>
      <c r="J11" s="62">
        <f>H11*(1-I11)</f>
        <v>94.09</v>
      </c>
      <c r="K11" s="63">
        <f>H11*(1+I11)</f>
        <v>99.91</v>
      </c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</row>
    <row r="12" spans="1:24" ht="30" customHeight="1" x14ac:dyDescent="0.25">
      <c r="A12" s="579" t="s">
        <v>34</v>
      </c>
      <c r="B12" s="82">
        <v>30</v>
      </c>
      <c r="C12" s="285">
        <v>5</v>
      </c>
      <c r="D12" s="84">
        <f>B12-C12</f>
        <v>25</v>
      </c>
      <c r="E12" s="85">
        <f>B12+5</f>
        <v>35</v>
      </c>
      <c r="G12" s="579" t="s">
        <v>124</v>
      </c>
      <c r="H12" s="82">
        <v>30</v>
      </c>
      <c r="I12" s="285">
        <v>5</v>
      </c>
      <c r="J12" s="84">
        <f>H12-I12</f>
        <v>25</v>
      </c>
      <c r="K12" s="85">
        <f>H12+5</f>
        <v>35</v>
      </c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</row>
    <row r="13" spans="1:24" ht="30" customHeight="1" x14ac:dyDescent="0.25">
      <c r="A13" s="579"/>
      <c r="B13" s="275">
        <v>100</v>
      </c>
      <c r="C13" s="288">
        <v>5</v>
      </c>
      <c r="D13" s="289">
        <f t="shared" ref="D13:D20" si="4">B13-C13</f>
        <v>95</v>
      </c>
      <c r="E13" s="290">
        <f t="shared" ref="E13:E20" si="5">B13+5</f>
        <v>105</v>
      </c>
      <c r="G13" s="579"/>
      <c r="H13" s="275">
        <v>100</v>
      </c>
      <c r="I13" s="288">
        <v>5</v>
      </c>
      <c r="J13" s="289">
        <f t="shared" ref="J13:J14" si="6">H13-I13</f>
        <v>95</v>
      </c>
      <c r="K13" s="290">
        <f t="shared" ref="K13:K20" si="7">H13+5</f>
        <v>105</v>
      </c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</row>
    <row r="14" spans="1:24" ht="30" customHeight="1" thickBot="1" x14ac:dyDescent="0.3">
      <c r="A14" s="580"/>
      <c r="B14" s="20">
        <v>240</v>
      </c>
      <c r="C14" s="21">
        <v>5</v>
      </c>
      <c r="D14" s="286">
        <f t="shared" si="4"/>
        <v>235</v>
      </c>
      <c r="E14" s="287">
        <f t="shared" si="5"/>
        <v>245</v>
      </c>
      <c r="G14" s="580"/>
      <c r="H14" s="20">
        <v>240</v>
      </c>
      <c r="I14" s="21">
        <v>5</v>
      </c>
      <c r="J14" s="286">
        <f t="shared" si="6"/>
        <v>235</v>
      </c>
      <c r="K14" s="287">
        <f t="shared" si="7"/>
        <v>245</v>
      </c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</row>
    <row r="15" spans="1:24" ht="30" customHeight="1" x14ac:dyDescent="0.25">
      <c r="A15" s="578" t="s">
        <v>35</v>
      </c>
      <c r="B15" s="294">
        <v>60</v>
      </c>
      <c r="C15" s="295">
        <v>5</v>
      </c>
      <c r="D15" s="296">
        <f>B15-C15</f>
        <v>55</v>
      </c>
      <c r="E15" s="297">
        <f t="shared" si="5"/>
        <v>65</v>
      </c>
      <c r="G15" s="578" t="s">
        <v>35</v>
      </c>
      <c r="H15" s="294">
        <v>60</v>
      </c>
      <c r="I15" s="295">
        <v>5</v>
      </c>
      <c r="J15" s="296">
        <f>H15-I15</f>
        <v>55</v>
      </c>
      <c r="K15" s="297">
        <f t="shared" si="7"/>
        <v>65</v>
      </c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</row>
    <row r="16" spans="1:24" ht="30" customHeight="1" x14ac:dyDescent="0.25">
      <c r="A16" s="579"/>
      <c r="B16" s="279">
        <v>120</v>
      </c>
      <c r="C16" s="87">
        <v>5</v>
      </c>
      <c r="D16" s="307">
        <f>B16-C16</f>
        <v>115</v>
      </c>
      <c r="E16" s="308">
        <f t="shared" si="5"/>
        <v>125</v>
      </c>
      <c r="G16" s="579"/>
      <c r="H16" s="279">
        <v>120</v>
      </c>
      <c r="I16" s="87">
        <v>5</v>
      </c>
      <c r="J16" s="307">
        <f>H16-I16</f>
        <v>115</v>
      </c>
      <c r="K16" s="308">
        <f t="shared" si="7"/>
        <v>125</v>
      </c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</row>
    <row r="17" spans="1:11" ht="30" customHeight="1" thickBot="1" x14ac:dyDescent="0.3">
      <c r="A17" s="580"/>
      <c r="B17" s="255">
        <v>200</v>
      </c>
      <c r="C17" s="309">
        <v>5</v>
      </c>
      <c r="D17" s="310">
        <f>B17-C17</f>
        <v>195</v>
      </c>
      <c r="E17" s="311">
        <f t="shared" si="5"/>
        <v>205</v>
      </c>
      <c r="G17" s="580"/>
      <c r="H17" s="255">
        <v>200</v>
      </c>
      <c r="I17" s="309">
        <v>5</v>
      </c>
      <c r="J17" s="310">
        <f>H17-I17</f>
        <v>195</v>
      </c>
      <c r="K17" s="311">
        <f t="shared" si="7"/>
        <v>205</v>
      </c>
    </row>
    <row r="18" spans="1:11" ht="30" customHeight="1" x14ac:dyDescent="0.25">
      <c r="A18" s="578" t="s">
        <v>36</v>
      </c>
      <c r="B18" s="82">
        <v>30</v>
      </c>
      <c r="C18" s="83">
        <v>5</v>
      </c>
      <c r="D18" s="84">
        <f t="shared" si="4"/>
        <v>25</v>
      </c>
      <c r="E18" s="85">
        <f t="shared" si="5"/>
        <v>35</v>
      </c>
      <c r="G18" s="578" t="s">
        <v>36</v>
      </c>
      <c r="H18" s="82">
        <v>30</v>
      </c>
      <c r="I18" s="83">
        <v>5</v>
      </c>
      <c r="J18" s="84">
        <f t="shared" ref="J18:J20" si="8">H18-I18</f>
        <v>25</v>
      </c>
      <c r="K18" s="85">
        <f t="shared" si="7"/>
        <v>35</v>
      </c>
    </row>
    <row r="19" spans="1:11" ht="30" customHeight="1" x14ac:dyDescent="0.25">
      <c r="A19" s="579"/>
      <c r="B19" s="24">
        <v>80</v>
      </c>
      <c r="C19" s="86">
        <v>5</v>
      </c>
      <c r="D19" s="75">
        <f t="shared" si="4"/>
        <v>75</v>
      </c>
      <c r="E19" s="76">
        <f t="shared" si="5"/>
        <v>85</v>
      </c>
      <c r="G19" s="579"/>
      <c r="H19" s="24">
        <v>80</v>
      </c>
      <c r="I19" s="86">
        <v>5</v>
      </c>
      <c r="J19" s="75">
        <f t="shared" si="8"/>
        <v>75</v>
      </c>
      <c r="K19" s="76">
        <f t="shared" si="7"/>
        <v>85</v>
      </c>
    </row>
    <row r="20" spans="1:11" ht="30" customHeight="1" thickBot="1" x14ac:dyDescent="0.3">
      <c r="A20" s="580"/>
      <c r="B20" s="88">
        <v>150</v>
      </c>
      <c r="C20" s="291">
        <v>5</v>
      </c>
      <c r="D20" s="292">
        <f t="shared" si="4"/>
        <v>145</v>
      </c>
      <c r="E20" s="260">
        <f t="shared" si="5"/>
        <v>155</v>
      </c>
      <c r="G20" s="580"/>
      <c r="H20" s="88">
        <v>150</v>
      </c>
      <c r="I20" s="291">
        <v>5</v>
      </c>
      <c r="J20" s="292">
        <f t="shared" si="8"/>
        <v>145</v>
      </c>
      <c r="K20" s="260">
        <f t="shared" si="7"/>
        <v>155</v>
      </c>
    </row>
    <row r="21" spans="1:11" ht="30" customHeight="1" x14ac:dyDescent="0.25">
      <c r="A21" s="583" t="s">
        <v>37</v>
      </c>
      <c r="B21" s="294">
        <v>15</v>
      </c>
      <c r="C21" s="295">
        <v>3</v>
      </c>
      <c r="D21" s="296">
        <f>B21-C21</f>
        <v>12</v>
      </c>
      <c r="E21" s="297">
        <f>B21+C21</f>
        <v>18</v>
      </c>
      <c r="G21" s="560" t="s">
        <v>40</v>
      </c>
      <c r="H21" s="82">
        <v>36</v>
      </c>
      <c r="I21" s="226">
        <v>0.8</v>
      </c>
      <c r="J21" s="179">
        <f>H21-I21</f>
        <v>35.200000000000003</v>
      </c>
      <c r="K21" s="180">
        <f>H21+I21</f>
        <v>36.799999999999997</v>
      </c>
    </row>
    <row r="22" spans="1:11" ht="30" customHeight="1" x14ac:dyDescent="0.25">
      <c r="A22" s="584"/>
      <c r="B22" s="20">
        <v>20</v>
      </c>
      <c r="C22" s="293">
        <v>3</v>
      </c>
      <c r="D22" s="286">
        <f t="shared" ref="D22:D23" si="9">B22-C22</f>
        <v>17</v>
      </c>
      <c r="E22" s="287">
        <f t="shared" ref="E22:E23" si="10">B22+C22</f>
        <v>23</v>
      </c>
      <c r="G22" s="563"/>
      <c r="H22" s="24">
        <v>38</v>
      </c>
      <c r="I22" s="188">
        <v>0.8</v>
      </c>
      <c r="J22" s="218">
        <f t="shared" ref="J22:J23" si="11">H22-I22</f>
        <v>37.200000000000003</v>
      </c>
      <c r="K22" s="224">
        <f t="shared" ref="K22:K23" si="12">H22+I22</f>
        <v>38.799999999999997</v>
      </c>
    </row>
    <row r="23" spans="1:11" ht="30" customHeight="1" thickBot="1" x14ac:dyDescent="0.3">
      <c r="A23" s="585"/>
      <c r="B23" s="255">
        <v>30</v>
      </c>
      <c r="C23" s="309">
        <v>3</v>
      </c>
      <c r="D23" s="316">
        <f t="shared" si="9"/>
        <v>27</v>
      </c>
      <c r="E23" s="317">
        <f t="shared" si="10"/>
        <v>33</v>
      </c>
      <c r="G23" s="566"/>
      <c r="H23" s="88">
        <v>40</v>
      </c>
      <c r="I23" s="227">
        <v>0.8</v>
      </c>
      <c r="J23" s="228">
        <f t="shared" si="11"/>
        <v>39.200000000000003</v>
      </c>
      <c r="K23" s="229">
        <f t="shared" si="12"/>
        <v>40.799999999999997</v>
      </c>
    </row>
    <row r="24" spans="1:11" ht="30" customHeight="1" x14ac:dyDescent="0.25"/>
    <row r="25" spans="1:11" ht="30" customHeight="1" x14ac:dyDescent="0.25"/>
    <row r="26" spans="1:11" ht="30" customHeight="1" x14ac:dyDescent="0.25"/>
    <row r="27" spans="1:11" ht="15" customHeight="1" thickBot="1" x14ac:dyDescent="0.3"/>
  </sheetData>
  <mergeCells count="16">
    <mergeCell ref="M8:X16"/>
    <mergeCell ref="G8:H8"/>
    <mergeCell ref="A9:A11"/>
    <mergeCell ref="A12:A14"/>
    <mergeCell ref="A15:A17"/>
    <mergeCell ref="G9:G11"/>
    <mergeCell ref="G12:G14"/>
    <mergeCell ref="G15:G17"/>
    <mergeCell ref="G18:G20"/>
    <mergeCell ref="G21:G23"/>
    <mergeCell ref="B1:I2"/>
    <mergeCell ref="A3:K3"/>
    <mergeCell ref="A6:K6"/>
    <mergeCell ref="A8:B8"/>
    <mergeCell ref="A18:A20"/>
    <mergeCell ref="A21:A23"/>
  </mergeCells>
  <pageMargins left="0.511811024" right="0.511811024" top="0.78740157499999996" bottom="0.78740157499999996" header="0.31496062000000002" footer="0.31496062000000002"/>
  <pageSetup paperSize="9" scale="47" fitToHeight="0" orientation="portrait" r:id="rId1"/>
  <headerFooter>
    <oddFooter>&amp;L_x000D_&amp;1#&amp;"Calibri"&amp;10&amp;K000000 Classificação da Informação: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9855-1E53-4B7C-B0BF-270765F37878}">
  <sheetPr>
    <tabColor rgb="FFFFC000"/>
    <pageSetUpPr fitToPage="1"/>
  </sheetPr>
  <dimension ref="A1:P25"/>
  <sheetViews>
    <sheetView showGridLines="0" zoomScale="80" zoomScaleNormal="80" zoomScaleSheetLayoutView="100" workbookViewId="0">
      <selection activeCell="B1" sqref="B1:D2"/>
    </sheetView>
  </sheetViews>
  <sheetFormatPr defaultRowHeight="15" x14ac:dyDescent="0.25"/>
  <cols>
    <col min="1" max="1" width="27" customWidth="1"/>
    <col min="2" max="2" width="30.7109375" customWidth="1"/>
    <col min="3" max="4" width="13.28515625" customWidth="1"/>
    <col min="5" max="6" width="15.7109375" customWidth="1"/>
  </cols>
  <sheetData>
    <row r="1" spans="1:16" ht="30" customHeight="1" thickBot="1" x14ac:dyDescent="0.3">
      <c r="A1" s="2"/>
      <c r="B1" s="507" t="s">
        <v>78</v>
      </c>
      <c r="C1" s="508"/>
      <c r="D1" s="509"/>
      <c r="E1" s="3" t="s">
        <v>82</v>
      </c>
      <c r="F1" s="4" t="s">
        <v>175</v>
      </c>
    </row>
    <row r="2" spans="1:16" ht="30" customHeight="1" thickBot="1" x14ac:dyDescent="0.3">
      <c r="A2" s="5"/>
      <c r="B2" s="510"/>
      <c r="C2" s="511"/>
      <c r="D2" s="512"/>
      <c r="E2" s="6" t="s">
        <v>79</v>
      </c>
      <c r="F2" s="7" t="s">
        <v>80</v>
      </c>
    </row>
    <row r="3" spans="1:16" ht="15.75" customHeight="1" thickBot="1" x14ac:dyDescent="0.3">
      <c r="A3" s="513" t="s">
        <v>81</v>
      </c>
      <c r="B3" s="514"/>
      <c r="C3" s="514"/>
      <c r="D3" s="514"/>
      <c r="E3" s="514"/>
      <c r="F3" s="537"/>
    </row>
    <row r="4" spans="1:16" ht="15.75" customHeight="1" thickBot="1" x14ac:dyDescent="0.3">
      <c r="A4" s="8"/>
      <c r="B4" s="9"/>
      <c r="C4" s="9"/>
      <c r="D4" s="56"/>
      <c r="E4" s="119" t="s">
        <v>88</v>
      </c>
      <c r="F4" s="119" t="s">
        <v>177</v>
      </c>
    </row>
    <row r="5" spans="1:16" ht="15.75" thickBot="1" x14ac:dyDescent="0.3"/>
    <row r="6" spans="1:16" ht="47.25" customHeight="1" thickBot="1" x14ac:dyDescent="0.4">
      <c r="A6" s="524" t="s">
        <v>93</v>
      </c>
      <c r="B6" s="525"/>
      <c r="C6" s="525"/>
      <c r="D6" s="525"/>
      <c r="E6" s="525"/>
      <c r="F6" s="526"/>
    </row>
    <row r="7" spans="1:16" ht="15" customHeight="1" thickBot="1" x14ac:dyDescent="0.3"/>
    <row r="8" spans="1:16" s="14" customFormat="1" ht="50.1" customHeight="1" thickBot="1" x14ac:dyDescent="0.3">
      <c r="A8" s="587" t="s">
        <v>60</v>
      </c>
      <c r="B8" s="588"/>
      <c r="C8" s="589"/>
      <c r="D8" s="216" t="s">
        <v>4</v>
      </c>
      <c r="E8" s="216" t="s">
        <v>2</v>
      </c>
      <c r="F8" s="216" t="s">
        <v>3</v>
      </c>
      <c r="H8" s="586"/>
      <c r="I8" s="586"/>
      <c r="J8" s="586"/>
      <c r="K8" s="586"/>
      <c r="L8" s="586"/>
      <c r="M8" s="586"/>
      <c r="N8" s="586"/>
      <c r="O8" s="586"/>
      <c r="P8" s="586"/>
    </row>
    <row r="9" spans="1:16" ht="30" customHeight="1" x14ac:dyDescent="0.25">
      <c r="A9" s="517" t="s">
        <v>33</v>
      </c>
      <c r="B9" s="518"/>
      <c r="C9" s="294">
        <v>70</v>
      </c>
      <c r="D9" s="276">
        <v>0.03</v>
      </c>
      <c r="E9" s="318">
        <f t="shared" ref="E9:E10" si="0">C9*(1-D9)</f>
        <v>67.899999999999991</v>
      </c>
      <c r="F9" s="319">
        <f t="shared" ref="F9:F10" si="1">C9*(1+D9)</f>
        <v>72.100000000000009</v>
      </c>
      <c r="H9" s="586"/>
      <c r="I9" s="586"/>
      <c r="J9" s="586"/>
      <c r="K9" s="586"/>
      <c r="L9" s="586"/>
      <c r="M9" s="586"/>
      <c r="N9" s="586"/>
      <c r="O9" s="586"/>
      <c r="P9" s="586"/>
    </row>
    <row r="10" spans="1:16" ht="30" customHeight="1" x14ac:dyDescent="0.25">
      <c r="A10" s="519"/>
      <c r="B10" s="520"/>
      <c r="C10" s="279">
        <v>83</v>
      </c>
      <c r="D10" s="134">
        <v>0.03</v>
      </c>
      <c r="E10" s="280">
        <f t="shared" si="0"/>
        <v>80.509999999999991</v>
      </c>
      <c r="F10" s="281">
        <f t="shared" si="1"/>
        <v>85.49</v>
      </c>
      <c r="H10" s="586"/>
      <c r="I10" s="586"/>
      <c r="J10" s="586"/>
      <c r="K10" s="586"/>
      <c r="L10" s="586"/>
      <c r="M10" s="586"/>
      <c r="N10" s="586"/>
      <c r="O10" s="586"/>
      <c r="P10" s="586"/>
    </row>
    <row r="11" spans="1:16" ht="30" customHeight="1" thickBot="1" x14ac:dyDescent="0.3">
      <c r="A11" s="521"/>
      <c r="B11" s="522"/>
      <c r="C11" s="60">
        <v>97</v>
      </c>
      <c r="D11" s="61">
        <v>0.03</v>
      </c>
      <c r="E11" s="62">
        <f>C11*(1-D11)</f>
        <v>94.09</v>
      </c>
      <c r="F11" s="63">
        <f>C11*(1+D11)</f>
        <v>99.91</v>
      </c>
      <c r="H11" s="586"/>
      <c r="I11" s="586"/>
      <c r="J11" s="586"/>
      <c r="K11" s="586"/>
      <c r="L11" s="586"/>
      <c r="M11" s="586"/>
      <c r="N11" s="586"/>
      <c r="O11" s="586"/>
      <c r="P11" s="586"/>
    </row>
    <row r="12" spans="1:16" ht="30" customHeight="1" x14ac:dyDescent="0.25">
      <c r="A12" s="519" t="s">
        <v>124</v>
      </c>
      <c r="B12" s="520"/>
      <c r="C12" s="82">
        <v>30</v>
      </c>
      <c r="D12" s="285">
        <v>5</v>
      </c>
      <c r="E12" s="84">
        <f>C12-D12</f>
        <v>25</v>
      </c>
      <c r="F12" s="85">
        <f>C12+5</f>
        <v>35</v>
      </c>
      <c r="H12" s="586"/>
      <c r="I12" s="586"/>
      <c r="J12" s="586"/>
      <c r="K12" s="586"/>
      <c r="L12" s="586"/>
      <c r="M12" s="586"/>
      <c r="N12" s="586"/>
      <c r="O12" s="586"/>
      <c r="P12" s="586"/>
    </row>
    <row r="13" spans="1:16" ht="30" customHeight="1" x14ac:dyDescent="0.25">
      <c r="A13" s="519"/>
      <c r="B13" s="520"/>
      <c r="C13" s="275">
        <v>100</v>
      </c>
      <c r="D13" s="288">
        <v>5</v>
      </c>
      <c r="E13" s="289">
        <f t="shared" ref="E13:E14" si="2">C13-D13</f>
        <v>95</v>
      </c>
      <c r="F13" s="290">
        <f t="shared" ref="F13:F14" si="3">C13+5</f>
        <v>105</v>
      </c>
      <c r="H13" s="586"/>
      <c r="I13" s="586"/>
      <c r="J13" s="586"/>
      <c r="K13" s="586"/>
      <c r="L13" s="586"/>
      <c r="M13" s="586"/>
      <c r="N13" s="586"/>
      <c r="O13" s="586"/>
      <c r="P13" s="586"/>
    </row>
    <row r="14" spans="1:16" ht="30" customHeight="1" thickBot="1" x14ac:dyDescent="0.3">
      <c r="A14" s="521"/>
      <c r="B14" s="522"/>
      <c r="C14" s="88">
        <v>240</v>
      </c>
      <c r="D14" s="274">
        <v>5</v>
      </c>
      <c r="E14" s="292">
        <f t="shared" si="2"/>
        <v>235</v>
      </c>
      <c r="F14" s="260">
        <f t="shared" si="3"/>
        <v>245</v>
      </c>
      <c r="H14" s="586"/>
      <c r="I14" s="586"/>
      <c r="J14" s="586"/>
      <c r="K14" s="586"/>
      <c r="L14" s="586"/>
      <c r="M14" s="586"/>
      <c r="N14" s="586"/>
      <c r="O14" s="586"/>
      <c r="P14" s="586"/>
    </row>
    <row r="15" spans="1:16" ht="30" customHeight="1" x14ac:dyDescent="0.25">
      <c r="H15" s="586"/>
      <c r="I15" s="586"/>
      <c r="J15" s="586"/>
      <c r="K15" s="586"/>
      <c r="L15" s="586"/>
      <c r="M15" s="586"/>
      <c r="N15" s="586"/>
      <c r="O15" s="586"/>
      <c r="P15" s="586"/>
    </row>
    <row r="16" spans="1:16" ht="30" customHeight="1" x14ac:dyDescent="0.25">
      <c r="H16" s="586"/>
      <c r="I16" s="586"/>
      <c r="J16" s="586"/>
      <c r="K16" s="586"/>
      <c r="L16" s="586"/>
      <c r="M16" s="586"/>
      <c r="N16" s="586"/>
      <c r="O16" s="586"/>
      <c r="P16" s="586"/>
    </row>
    <row r="17" spans="8:16" ht="30" customHeight="1" x14ac:dyDescent="0.25">
      <c r="H17" s="586"/>
      <c r="I17" s="586"/>
      <c r="J17" s="586"/>
      <c r="K17" s="586"/>
      <c r="L17" s="586"/>
      <c r="M17" s="586"/>
      <c r="N17" s="586"/>
      <c r="O17" s="586"/>
      <c r="P17" s="586"/>
    </row>
    <row r="18" spans="8:16" ht="30" customHeight="1" x14ac:dyDescent="0.25">
      <c r="H18" s="586"/>
      <c r="I18" s="586"/>
      <c r="J18" s="586"/>
      <c r="K18" s="586"/>
      <c r="L18" s="586"/>
      <c r="M18" s="586"/>
      <c r="N18" s="586"/>
      <c r="O18" s="586"/>
      <c r="P18" s="586"/>
    </row>
    <row r="19" spans="8:16" ht="30" customHeight="1" x14ac:dyDescent="0.25"/>
    <row r="20" spans="8:16" ht="30" customHeight="1" x14ac:dyDescent="0.25"/>
    <row r="21" spans="8:16" ht="30" customHeight="1" x14ac:dyDescent="0.25"/>
    <row r="22" spans="8:16" ht="30" customHeight="1" x14ac:dyDescent="0.25"/>
    <row r="23" spans="8:16" ht="30" customHeight="1" x14ac:dyDescent="0.25"/>
    <row r="24" spans="8:16" ht="30" customHeight="1" x14ac:dyDescent="0.25"/>
    <row r="25" spans="8:16" ht="30" customHeight="1" thickBot="1" x14ac:dyDescent="0.3"/>
  </sheetData>
  <mergeCells count="7">
    <mergeCell ref="B1:D2"/>
    <mergeCell ref="A3:F3"/>
    <mergeCell ref="H8:P18"/>
    <mergeCell ref="A6:F6"/>
    <mergeCell ref="A8:C8"/>
    <mergeCell ref="A9:B11"/>
    <mergeCell ref="A12:B14"/>
  </mergeCells>
  <pageMargins left="0.511811024" right="0.511811024" top="0.78740157499999996" bottom="0.78740157499999996" header="0.31496062000000002" footer="0.31496062000000002"/>
  <pageSetup paperSize="9" scale="79" orientation="portrait" r:id="rId1"/>
  <headerFooter>
    <oddFooter>&amp;L_x000D_&amp;1#&amp;"Calibri"&amp;10&amp;K000000 Classificação da Informação: Interno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0829-13E5-40B1-83A3-9400AEA0F110}">
  <sheetPr>
    <tabColor rgb="FFFFC000"/>
    <pageSetUpPr fitToPage="1"/>
  </sheetPr>
  <dimension ref="A1:X27"/>
  <sheetViews>
    <sheetView showGridLines="0" topLeftCell="B1" zoomScale="80" zoomScaleNormal="80" zoomScaleSheetLayoutView="100" workbookViewId="0">
      <selection activeCell="B1" sqref="B1:I2"/>
    </sheetView>
  </sheetViews>
  <sheetFormatPr defaultRowHeight="15" x14ac:dyDescent="0.25"/>
  <cols>
    <col min="1" max="1" width="30.7109375" customWidth="1"/>
    <col min="2" max="5" width="15.7109375" customWidth="1"/>
    <col min="6" max="6" width="6.28515625" customWidth="1"/>
    <col min="7" max="7" width="30.7109375" customWidth="1"/>
    <col min="8" max="10" width="15.7109375" customWidth="1"/>
    <col min="11" max="11" width="16.7109375" customWidth="1"/>
  </cols>
  <sheetData>
    <row r="1" spans="1:24" ht="30" customHeight="1" thickBot="1" x14ac:dyDescent="0.3">
      <c r="A1" s="2"/>
      <c r="B1" s="507" t="s">
        <v>78</v>
      </c>
      <c r="C1" s="538"/>
      <c r="D1" s="538"/>
      <c r="E1" s="538"/>
      <c r="F1" s="538"/>
      <c r="G1" s="538"/>
      <c r="H1" s="538"/>
      <c r="I1" s="539"/>
      <c r="J1" s="3" t="s">
        <v>82</v>
      </c>
      <c r="K1" s="4" t="s">
        <v>175</v>
      </c>
    </row>
    <row r="2" spans="1:24" ht="30" customHeight="1" thickBot="1" x14ac:dyDescent="0.3">
      <c r="A2" s="163"/>
      <c r="B2" s="540"/>
      <c r="C2" s="541"/>
      <c r="D2" s="541"/>
      <c r="E2" s="541"/>
      <c r="F2" s="541"/>
      <c r="G2" s="541"/>
      <c r="H2" s="541"/>
      <c r="I2" s="542"/>
      <c r="J2" s="3" t="s">
        <v>79</v>
      </c>
      <c r="K2" s="215" t="s">
        <v>80</v>
      </c>
    </row>
    <row r="3" spans="1:24" ht="15.75" customHeight="1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37"/>
    </row>
    <row r="4" spans="1:24" ht="15.75" customHeight="1" thickBot="1" x14ac:dyDescent="0.3">
      <c r="A4" s="8"/>
      <c r="B4" s="9"/>
      <c r="C4" s="9"/>
      <c r="D4" s="9"/>
      <c r="E4" s="9"/>
      <c r="F4" s="9"/>
      <c r="G4" s="9"/>
      <c r="H4" s="9"/>
      <c r="I4" s="56"/>
      <c r="J4" s="119" t="s">
        <v>88</v>
      </c>
      <c r="K4" s="119" t="s">
        <v>177</v>
      </c>
    </row>
    <row r="5" spans="1:24" ht="15.75" customHeight="1" thickBo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</row>
    <row r="6" spans="1:24" ht="71.25" customHeight="1" thickBot="1" x14ac:dyDescent="0.3">
      <c r="A6" s="551" t="s">
        <v>126</v>
      </c>
      <c r="B6" s="552"/>
      <c r="C6" s="552"/>
      <c r="D6" s="552"/>
      <c r="E6" s="552"/>
      <c r="F6" s="552"/>
      <c r="G6" s="552"/>
      <c r="H6" s="552"/>
      <c r="I6" s="552"/>
      <c r="J6" s="552"/>
      <c r="K6" s="553"/>
    </row>
    <row r="7" spans="1:24" ht="15.75" thickBot="1" x14ac:dyDescent="0.3"/>
    <row r="8" spans="1:24" s="14" customFormat="1" ht="50.1" customHeight="1" thickBot="1" x14ac:dyDescent="0.3">
      <c r="A8" s="581" t="s">
        <v>127</v>
      </c>
      <c r="B8" s="582"/>
      <c r="C8" s="216" t="s">
        <v>4</v>
      </c>
      <c r="D8" s="314" t="s">
        <v>2</v>
      </c>
      <c r="E8" s="216" t="s">
        <v>3</v>
      </c>
      <c r="G8" s="590" t="s">
        <v>55</v>
      </c>
      <c r="H8" s="591"/>
      <c r="I8" s="217" t="s">
        <v>4</v>
      </c>
      <c r="J8" s="217" t="s">
        <v>2</v>
      </c>
      <c r="K8" s="217" t="s">
        <v>3</v>
      </c>
      <c r="M8" s="586"/>
      <c r="N8" s="523"/>
      <c r="O8" s="523"/>
      <c r="P8" s="523"/>
      <c r="Q8" s="523"/>
      <c r="R8" s="523"/>
      <c r="S8" s="523"/>
      <c r="T8" s="523"/>
      <c r="U8" s="523"/>
      <c r="V8" s="523"/>
      <c r="W8" s="523"/>
      <c r="X8" s="523"/>
    </row>
    <row r="9" spans="1:24" ht="30" customHeight="1" x14ac:dyDescent="0.25">
      <c r="A9" s="578" t="s">
        <v>35</v>
      </c>
      <c r="B9" s="294">
        <v>60</v>
      </c>
      <c r="C9" s="295">
        <v>5</v>
      </c>
      <c r="D9" s="296">
        <f t="shared" ref="D9:D14" si="0">B9-C9</f>
        <v>55</v>
      </c>
      <c r="E9" s="297">
        <f t="shared" ref="E9:E14" si="1">B9+5</f>
        <v>65</v>
      </c>
      <c r="G9" s="578" t="s">
        <v>56</v>
      </c>
      <c r="H9" s="185">
        <v>40</v>
      </c>
      <c r="I9" s="83">
        <v>4</v>
      </c>
      <c r="J9" s="84">
        <f>H9-I9</f>
        <v>36</v>
      </c>
      <c r="K9" s="85">
        <f>H9+I9</f>
        <v>44</v>
      </c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</row>
    <row r="10" spans="1:24" ht="30" customHeight="1" x14ac:dyDescent="0.25">
      <c r="A10" s="579"/>
      <c r="B10" s="279">
        <v>120</v>
      </c>
      <c r="C10" s="87">
        <v>5</v>
      </c>
      <c r="D10" s="307">
        <f t="shared" si="0"/>
        <v>115</v>
      </c>
      <c r="E10" s="308">
        <f t="shared" si="1"/>
        <v>125</v>
      </c>
      <c r="G10" s="579"/>
      <c r="H10" s="312">
        <v>80</v>
      </c>
      <c r="I10" s="86">
        <v>4</v>
      </c>
      <c r="J10" s="218">
        <f t="shared" ref="J10:J13" si="2">H10-I10</f>
        <v>76</v>
      </c>
      <c r="K10" s="76">
        <f t="shared" ref="K10:K13" si="3">H10+I10</f>
        <v>84</v>
      </c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</row>
    <row r="11" spans="1:24" ht="30" customHeight="1" thickBot="1" x14ac:dyDescent="0.3">
      <c r="A11" s="580"/>
      <c r="B11" s="255">
        <v>200</v>
      </c>
      <c r="C11" s="309">
        <v>5</v>
      </c>
      <c r="D11" s="310">
        <f t="shared" si="0"/>
        <v>195</v>
      </c>
      <c r="E11" s="311">
        <f t="shared" si="1"/>
        <v>205</v>
      </c>
      <c r="G11" s="579"/>
      <c r="H11" s="50">
        <v>120</v>
      </c>
      <c r="I11" s="87">
        <v>4</v>
      </c>
      <c r="J11" s="77">
        <f t="shared" si="2"/>
        <v>116</v>
      </c>
      <c r="K11" s="78">
        <f t="shared" si="3"/>
        <v>124</v>
      </c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</row>
    <row r="12" spans="1:24" ht="30" customHeight="1" x14ac:dyDescent="0.25">
      <c r="A12" s="578" t="s">
        <v>36</v>
      </c>
      <c r="B12" s="82">
        <v>30</v>
      </c>
      <c r="C12" s="83">
        <v>5</v>
      </c>
      <c r="D12" s="84">
        <f t="shared" si="0"/>
        <v>25</v>
      </c>
      <c r="E12" s="85">
        <f t="shared" si="1"/>
        <v>35</v>
      </c>
      <c r="G12" s="579"/>
      <c r="H12" s="312">
        <v>240</v>
      </c>
      <c r="I12" s="86">
        <v>4</v>
      </c>
      <c r="J12" s="219">
        <f t="shared" si="2"/>
        <v>236</v>
      </c>
      <c r="K12" s="220">
        <f t="shared" si="3"/>
        <v>244</v>
      </c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</row>
    <row r="13" spans="1:24" ht="30" customHeight="1" thickBot="1" x14ac:dyDescent="0.3">
      <c r="A13" s="579"/>
      <c r="B13" s="24">
        <v>80</v>
      </c>
      <c r="C13" s="86">
        <v>5</v>
      </c>
      <c r="D13" s="75">
        <f t="shared" si="0"/>
        <v>75</v>
      </c>
      <c r="E13" s="76">
        <f t="shared" si="1"/>
        <v>85</v>
      </c>
      <c r="G13" s="580"/>
      <c r="H13" s="181">
        <v>280</v>
      </c>
      <c r="I13" s="221">
        <v>4</v>
      </c>
      <c r="J13" s="222">
        <f t="shared" si="2"/>
        <v>276</v>
      </c>
      <c r="K13" s="223">
        <f t="shared" si="3"/>
        <v>284</v>
      </c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</row>
    <row r="14" spans="1:24" ht="30" customHeight="1" thickBot="1" x14ac:dyDescent="0.3">
      <c r="A14" s="580"/>
      <c r="B14" s="88">
        <v>150</v>
      </c>
      <c r="C14" s="291">
        <v>5</v>
      </c>
      <c r="D14" s="292">
        <f t="shared" si="0"/>
        <v>145</v>
      </c>
      <c r="E14" s="260">
        <f t="shared" si="1"/>
        <v>155</v>
      </c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</row>
    <row r="15" spans="1:24" ht="30" customHeight="1" x14ac:dyDescent="0.25"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</row>
    <row r="16" spans="1:24" ht="30" customHeight="1" x14ac:dyDescent="0.25"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</row>
    <row r="17" ht="30" customHeight="1" x14ac:dyDescent="0.25"/>
    <row r="18" ht="30" customHeight="1" x14ac:dyDescent="0.25"/>
    <row r="19" ht="30" customHeight="1" x14ac:dyDescent="0.25"/>
    <row r="20" ht="30" customHeight="1" x14ac:dyDescent="0.25"/>
    <row r="21" ht="30" customHeight="1" x14ac:dyDescent="0.25"/>
    <row r="22" ht="30" customHeight="1" x14ac:dyDescent="0.25"/>
    <row r="23" ht="30" customHeight="1" x14ac:dyDescent="0.25"/>
    <row r="24" ht="30" customHeight="1" x14ac:dyDescent="0.25"/>
    <row r="25" ht="30" customHeight="1" x14ac:dyDescent="0.25"/>
    <row r="26" ht="30" customHeight="1" x14ac:dyDescent="0.25"/>
    <row r="27" ht="15" customHeight="1" thickBot="1" x14ac:dyDescent="0.3"/>
  </sheetData>
  <mergeCells count="9">
    <mergeCell ref="M8:X16"/>
    <mergeCell ref="G9:G13"/>
    <mergeCell ref="A9:A11"/>
    <mergeCell ref="A12:A14"/>
    <mergeCell ref="B1:I2"/>
    <mergeCell ref="A3:K3"/>
    <mergeCell ref="A6:K6"/>
    <mergeCell ref="A8:B8"/>
    <mergeCell ref="G8:H8"/>
  </mergeCells>
  <pageMargins left="0.511811024" right="0.511811024" top="0.78740157499999996" bottom="0.78740157499999996" header="0.31496062000000002" footer="0.31496062000000002"/>
  <pageSetup paperSize="9" scale="47" fitToHeight="0" orientation="portrait" r:id="rId1"/>
  <headerFooter>
    <oddFooter>&amp;L_x000D_&amp;1#&amp;"Calibri"&amp;10&amp;K000000 Classificação da Informação: Interno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99E69-BED5-484F-ABF1-9F85479DDB8D}">
  <sheetPr>
    <tabColor rgb="FFFFC000"/>
    <pageSetUpPr fitToPage="1"/>
  </sheetPr>
  <dimension ref="A1:Y76"/>
  <sheetViews>
    <sheetView showGridLines="0" zoomScale="80" zoomScaleNormal="80" zoomScaleSheetLayoutView="100" workbookViewId="0">
      <selection activeCell="B1" sqref="B1:J2"/>
    </sheetView>
  </sheetViews>
  <sheetFormatPr defaultRowHeight="15" x14ac:dyDescent="0.25"/>
  <cols>
    <col min="1" max="1" width="30.7109375" customWidth="1"/>
    <col min="2" max="3" width="13.28515625" customWidth="1"/>
    <col min="4" max="5" width="15.7109375" customWidth="1"/>
    <col min="6" max="7" width="4" customWidth="1"/>
    <col min="8" max="8" width="30.7109375" customWidth="1"/>
    <col min="9" max="10" width="13.28515625" customWidth="1"/>
    <col min="11" max="11" width="18.7109375" customWidth="1"/>
    <col min="12" max="12" width="17.28515625" customWidth="1"/>
  </cols>
  <sheetData>
    <row r="1" spans="1:25" ht="30" customHeight="1" thickBot="1" x14ac:dyDescent="0.3">
      <c r="A1" s="2"/>
      <c r="B1" s="507" t="s">
        <v>78</v>
      </c>
      <c r="C1" s="538"/>
      <c r="D1" s="538"/>
      <c r="E1" s="538"/>
      <c r="F1" s="538"/>
      <c r="G1" s="538"/>
      <c r="H1" s="538"/>
      <c r="I1" s="538"/>
      <c r="J1" s="539"/>
      <c r="K1" s="3" t="s">
        <v>82</v>
      </c>
      <c r="L1" s="4" t="s">
        <v>175</v>
      </c>
    </row>
    <row r="2" spans="1:25" ht="30" customHeight="1" thickBot="1" x14ac:dyDescent="0.3">
      <c r="A2" s="5"/>
      <c r="B2" s="618"/>
      <c r="C2" s="619"/>
      <c r="D2" s="619"/>
      <c r="E2" s="619"/>
      <c r="F2" s="619"/>
      <c r="G2" s="619"/>
      <c r="H2" s="619"/>
      <c r="I2" s="619"/>
      <c r="J2" s="620"/>
      <c r="K2" s="6" t="s">
        <v>79</v>
      </c>
      <c r="L2" s="7" t="s">
        <v>80</v>
      </c>
    </row>
    <row r="3" spans="1:25" ht="15.75" customHeight="1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37"/>
    </row>
    <row r="4" spans="1:25" ht="15.75" customHeight="1" thickBot="1" x14ac:dyDescent="0.3">
      <c r="A4" s="513"/>
      <c r="B4" s="514"/>
      <c r="C4" s="514"/>
      <c r="D4" s="514"/>
      <c r="E4" s="514"/>
      <c r="F4" s="514"/>
      <c r="G4" s="514"/>
      <c r="H4" s="514"/>
      <c r="I4" s="514"/>
      <c r="J4" s="537"/>
      <c r="K4" s="119" t="s">
        <v>88</v>
      </c>
      <c r="L4" s="119" t="s">
        <v>177</v>
      </c>
    </row>
    <row r="5" spans="1:25" ht="15.75" customHeight="1" thickBot="1" x14ac:dyDescent="0.3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</row>
    <row r="6" spans="1:25" ht="39.950000000000003" customHeight="1" thickBot="1" x14ac:dyDescent="0.3">
      <c r="A6" s="551" t="s">
        <v>97</v>
      </c>
      <c r="B6" s="552"/>
      <c r="C6" s="552"/>
      <c r="D6" s="552"/>
      <c r="E6" s="552"/>
      <c r="F6" s="552"/>
      <c r="G6" s="552"/>
      <c r="H6" s="552"/>
      <c r="I6" s="552"/>
      <c r="J6" s="552"/>
      <c r="K6" s="552"/>
      <c r="L6" s="553"/>
    </row>
    <row r="7" spans="1:25" ht="15" customHeight="1" thickBot="1" x14ac:dyDescent="0.3">
      <c r="A7" s="5"/>
      <c r="L7" s="123"/>
    </row>
    <row r="8" spans="1:25" ht="30" customHeight="1" thickBot="1" x14ac:dyDescent="0.45">
      <c r="A8" s="615" t="s">
        <v>16</v>
      </c>
      <c r="B8" s="616"/>
      <c r="C8" s="616"/>
      <c r="D8" s="616"/>
      <c r="E8" s="616"/>
      <c r="F8" s="616"/>
      <c r="G8" s="616"/>
      <c r="H8" s="616"/>
      <c r="I8" s="616"/>
      <c r="J8" s="616"/>
      <c r="K8" s="616"/>
      <c r="L8" s="617"/>
    </row>
    <row r="9" spans="1:25" ht="50.1" customHeight="1" thickBot="1" x14ac:dyDescent="0.3">
      <c r="A9" s="628" t="s">
        <v>13</v>
      </c>
      <c r="B9" s="629"/>
      <c r="C9" s="124" t="s">
        <v>4</v>
      </c>
      <c r="D9" s="124" t="s">
        <v>2</v>
      </c>
      <c r="E9" s="124" t="s">
        <v>3</v>
      </c>
      <c r="F9" s="125"/>
      <c r="G9" s="125"/>
      <c r="H9" s="628" t="s">
        <v>5</v>
      </c>
      <c r="I9" s="629"/>
      <c r="J9" s="124" t="s">
        <v>4</v>
      </c>
      <c r="K9" s="124" t="s">
        <v>2</v>
      </c>
      <c r="L9" s="124" t="s">
        <v>3</v>
      </c>
      <c r="M9" s="523"/>
      <c r="N9" s="523"/>
      <c r="O9" s="523"/>
      <c r="P9" s="523"/>
      <c r="Q9" s="523"/>
      <c r="R9" s="523"/>
      <c r="S9" s="523"/>
      <c r="T9" s="523"/>
      <c r="U9" s="523"/>
      <c r="V9" s="523"/>
      <c r="W9" s="523"/>
      <c r="X9" s="523"/>
      <c r="Y9" s="523"/>
    </row>
    <row r="10" spans="1:25" ht="30" customHeight="1" x14ac:dyDescent="0.25">
      <c r="A10" s="578" t="s">
        <v>0</v>
      </c>
      <c r="B10" s="126">
        <v>2200</v>
      </c>
      <c r="C10" s="127">
        <v>0.05</v>
      </c>
      <c r="D10" s="128">
        <f>B10*(1-C10)</f>
        <v>2090</v>
      </c>
      <c r="E10" s="128">
        <f>B10*(1+C10)</f>
        <v>2310</v>
      </c>
      <c r="F10" s="125"/>
      <c r="G10" s="125"/>
      <c r="H10" s="517" t="s">
        <v>0</v>
      </c>
      <c r="I10" s="126">
        <v>2400</v>
      </c>
      <c r="J10" s="127">
        <v>0.05</v>
      </c>
      <c r="K10" s="128">
        <v>2280</v>
      </c>
      <c r="L10" s="129">
        <v>2520</v>
      </c>
      <c r="M10" s="523"/>
      <c r="N10" s="523"/>
      <c r="O10" s="523"/>
      <c r="P10" s="523"/>
      <c r="Q10" s="523"/>
      <c r="R10" s="523"/>
      <c r="S10" s="523"/>
      <c r="T10" s="523"/>
      <c r="U10" s="523"/>
      <c r="V10" s="523"/>
      <c r="W10" s="523"/>
      <c r="X10" s="523"/>
      <c r="Y10" s="523"/>
    </row>
    <row r="11" spans="1:25" ht="30" customHeight="1" x14ac:dyDescent="0.25">
      <c r="A11" s="579"/>
      <c r="B11" s="130">
        <v>2600</v>
      </c>
      <c r="C11" s="131">
        <v>0.05</v>
      </c>
      <c r="D11" s="132">
        <f t="shared" ref="D11:D12" si="0">B11*(1-C11)</f>
        <v>2470</v>
      </c>
      <c r="E11" s="133">
        <f t="shared" ref="E11:E12" si="1">B11*(1+C11)</f>
        <v>2730</v>
      </c>
      <c r="F11" s="125"/>
      <c r="G11" s="125"/>
      <c r="H11" s="519"/>
      <c r="I11" s="20">
        <v>3000</v>
      </c>
      <c r="J11" s="134">
        <v>0.05</v>
      </c>
      <c r="K11" s="132">
        <v>2850</v>
      </c>
      <c r="L11" s="133">
        <v>3150</v>
      </c>
      <c r="M11" s="523"/>
      <c r="N11" s="523"/>
      <c r="O11" s="523"/>
      <c r="P11" s="523"/>
      <c r="Q11" s="523"/>
      <c r="R11" s="523"/>
      <c r="S11" s="523"/>
      <c r="T11" s="523"/>
      <c r="U11" s="523"/>
      <c r="V11" s="523"/>
      <c r="W11" s="523"/>
      <c r="X11" s="523"/>
      <c r="Y11" s="523"/>
    </row>
    <row r="12" spans="1:25" ht="30" customHeight="1" thickBot="1" x14ac:dyDescent="0.3">
      <c r="A12" s="579"/>
      <c r="B12" s="135">
        <v>3000</v>
      </c>
      <c r="C12" s="136">
        <v>0.05</v>
      </c>
      <c r="D12" s="75">
        <f t="shared" si="0"/>
        <v>2850</v>
      </c>
      <c r="E12" s="76">
        <f t="shared" si="1"/>
        <v>3150</v>
      </c>
      <c r="F12" s="125"/>
      <c r="G12" s="125"/>
      <c r="H12" s="521"/>
      <c r="I12" s="137">
        <v>3400</v>
      </c>
      <c r="J12" s="138">
        <v>0.05</v>
      </c>
      <c r="K12" s="139">
        <v>3230</v>
      </c>
      <c r="L12" s="81">
        <v>3570</v>
      </c>
      <c r="M12" s="523"/>
      <c r="N12" s="523"/>
      <c r="O12" s="523"/>
      <c r="P12" s="523"/>
      <c r="Q12" s="523"/>
      <c r="R12" s="523"/>
      <c r="S12" s="523"/>
      <c r="T12" s="523"/>
      <c r="U12" s="523"/>
      <c r="V12" s="523"/>
      <c r="W12" s="523"/>
      <c r="X12" s="523"/>
      <c r="Y12" s="523"/>
    </row>
    <row r="13" spans="1:25" ht="30" customHeight="1" x14ac:dyDescent="0.25">
      <c r="A13" s="578" t="s">
        <v>1</v>
      </c>
      <c r="B13" s="140">
        <v>2</v>
      </c>
      <c r="C13" s="141">
        <v>0.25</v>
      </c>
      <c r="D13" s="90">
        <v>1.75</v>
      </c>
      <c r="E13" s="143">
        <v>2.25</v>
      </c>
      <c r="F13" s="125"/>
      <c r="G13" s="125"/>
      <c r="H13" s="578" t="s">
        <v>1</v>
      </c>
      <c r="I13" s="140">
        <v>2</v>
      </c>
      <c r="J13" s="141">
        <v>0.25</v>
      </c>
      <c r="K13" s="90">
        <v>1.35</v>
      </c>
      <c r="L13" s="143">
        <v>1.25</v>
      </c>
      <c r="M13" s="523"/>
      <c r="N13" s="523"/>
      <c r="O13" s="523"/>
      <c r="P13" s="523"/>
      <c r="Q13" s="523"/>
      <c r="R13" s="523"/>
      <c r="S13" s="523"/>
      <c r="T13" s="523"/>
      <c r="U13" s="523"/>
      <c r="V13" s="523"/>
      <c r="W13" s="523"/>
      <c r="X13" s="523"/>
      <c r="Y13" s="523"/>
    </row>
    <row r="14" spans="1:25" ht="30" customHeight="1" x14ac:dyDescent="0.25">
      <c r="A14" s="579"/>
      <c r="B14" s="144">
        <v>10</v>
      </c>
      <c r="C14" s="145">
        <v>0.25</v>
      </c>
      <c r="D14" s="146">
        <v>9.75</v>
      </c>
      <c r="E14" s="147">
        <v>10.25</v>
      </c>
      <c r="F14" s="125"/>
      <c r="G14" s="125"/>
      <c r="H14" s="579"/>
      <c r="I14" s="144">
        <v>10</v>
      </c>
      <c r="J14" s="145">
        <v>0.25</v>
      </c>
      <c r="K14" s="146">
        <v>9.35</v>
      </c>
      <c r="L14" s="147">
        <v>9.25</v>
      </c>
      <c r="M14" s="523"/>
      <c r="N14" s="523"/>
      <c r="O14" s="523"/>
      <c r="P14" s="523"/>
      <c r="Q14" s="523"/>
      <c r="R14" s="523"/>
      <c r="S14" s="523"/>
      <c r="T14" s="523"/>
      <c r="U14" s="523"/>
      <c r="V14" s="523"/>
      <c r="W14" s="523"/>
      <c r="X14" s="523"/>
      <c r="Y14" s="523"/>
    </row>
    <row r="15" spans="1:25" ht="30" customHeight="1" thickBot="1" x14ac:dyDescent="0.3">
      <c r="A15" s="580"/>
      <c r="B15" s="148">
        <v>15</v>
      </c>
      <c r="C15" s="149">
        <v>0.25</v>
      </c>
      <c r="D15" s="150">
        <v>15.25</v>
      </c>
      <c r="E15" s="151">
        <v>15.25</v>
      </c>
      <c r="F15" s="125"/>
      <c r="G15" s="125"/>
      <c r="H15" s="580"/>
      <c r="I15" s="148">
        <v>15</v>
      </c>
      <c r="J15" s="149">
        <v>0.25</v>
      </c>
      <c r="K15" s="150">
        <v>15.35</v>
      </c>
      <c r="L15" s="151">
        <v>15.25</v>
      </c>
      <c r="M15" s="523"/>
      <c r="N15" s="523"/>
      <c r="O15" s="523"/>
      <c r="P15" s="523"/>
      <c r="Q15" s="523"/>
      <c r="R15" s="523"/>
      <c r="S15" s="523"/>
      <c r="T15" s="523"/>
      <c r="U15" s="523"/>
      <c r="V15" s="523"/>
      <c r="W15" s="523"/>
      <c r="X15" s="523"/>
      <c r="Y15" s="523"/>
    </row>
    <row r="16" spans="1:25" ht="15" customHeight="1" thickBot="1" x14ac:dyDescent="0.3">
      <c r="A16" s="152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53"/>
      <c r="M16" s="523"/>
      <c r="N16" s="523"/>
      <c r="O16" s="523"/>
      <c r="P16" s="523"/>
      <c r="Q16" s="523"/>
      <c r="R16" s="523"/>
      <c r="S16" s="523"/>
      <c r="T16" s="523"/>
      <c r="U16" s="523"/>
      <c r="V16" s="523"/>
      <c r="W16" s="523"/>
      <c r="X16" s="523"/>
      <c r="Y16" s="523"/>
    </row>
    <row r="17" spans="1:25" ht="50.1" customHeight="1" thickBot="1" x14ac:dyDescent="0.3">
      <c r="A17" s="626" t="s">
        <v>14</v>
      </c>
      <c r="B17" s="627"/>
      <c r="C17" s="124" t="s">
        <v>4</v>
      </c>
      <c r="D17" s="124" t="s">
        <v>2</v>
      </c>
      <c r="E17" s="124" t="s">
        <v>3</v>
      </c>
      <c r="F17" s="125"/>
      <c r="G17" s="125"/>
      <c r="H17" s="628" t="s">
        <v>6</v>
      </c>
      <c r="I17" s="629"/>
      <c r="J17" s="124" t="s">
        <v>4</v>
      </c>
      <c r="K17" s="124" t="s">
        <v>2</v>
      </c>
      <c r="L17" s="124" t="s">
        <v>3</v>
      </c>
      <c r="M17" s="523"/>
      <c r="N17" s="523"/>
      <c r="O17" s="523"/>
      <c r="P17" s="523"/>
      <c r="Q17" s="523"/>
      <c r="R17" s="523"/>
      <c r="S17" s="523"/>
      <c r="T17" s="523"/>
      <c r="U17" s="523"/>
      <c r="V17" s="523"/>
      <c r="W17" s="523"/>
      <c r="X17" s="523"/>
      <c r="Y17" s="523"/>
    </row>
    <row r="18" spans="1:25" ht="30" customHeight="1" x14ac:dyDescent="0.25">
      <c r="A18" s="578" t="s">
        <v>0</v>
      </c>
      <c r="B18" s="126">
        <v>2500</v>
      </c>
      <c r="C18" s="127">
        <v>0.05</v>
      </c>
      <c r="D18" s="128">
        <f>B18*(1-C18)</f>
        <v>2375</v>
      </c>
      <c r="E18" s="128">
        <f>B18*(1+C18)</f>
        <v>2625</v>
      </c>
      <c r="F18" s="125"/>
      <c r="G18" s="125"/>
      <c r="H18" s="578" t="s">
        <v>0</v>
      </c>
      <c r="I18" s="126">
        <v>1500</v>
      </c>
      <c r="J18" s="127">
        <v>0.05</v>
      </c>
      <c r="K18" s="128">
        <v>1425</v>
      </c>
      <c r="L18" s="129">
        <v>1575</v>
      </c>
    </row>
    <row r="19" spans="1:25" ht="30" customHeight="1" x14ac:dyDescent="0.25">
      <c r="A19" s="579"/>
      <c r="B19" s="130">
        <v>3200</v>
      </c>
      <c r="C19" s="131">
        <v>0.05</v>
      </c>
      <c r="D19" s="132">
        <f t="shared" ref="D19:D20" si="2">B19*(1-C19)</f>
        <v>3040</v>
      </c>
      <c r="E19" s="133">
        <f t="shared" ref="E19:E20" si="3">B19*(1+C19)</f>
        <v>3360</v>
      </c>
      <c r="F19" s="125"/>
      <c r="G19" s="125"/>
      <c r="H19" s="579"/>
      <c r="I19" s="130">
        <v>10000</v>
      </c>
      <c r="J19" s="131">
        <v>0.05</v>
      </c>
      <c r="K19" s="132">
        <v>9500</v>
      </c>
      <c r="L19" s="133">
        <v>10500</v>
      </c>
    </row>
    <row r="20" spans="1:25" ht="30" customHeight="1" thickBot="1" x14ac:dyDescent="0.3">
      <c r="A20" s="580"/>
      <c r="B20" s="154">
        <v>5000</v>
      </c>
      <c r="C20" s="155">
        <v>0.05</v>
      </c>
      <c r="D20" s="80">
        <f t="shared" si="2"/>
        <v>4750</v>
      </c>
      <c r="E20" s="81">
        <f t="shared" si="3"/>
        <v>5250</v>
      </c>
      <c r="F20" s="125"/>
      <c r="G20" s="125"/>
      <c r="H20" s="580"/>
      <c r="I20" s="154">
        <v>13000</v>
      </c>
      <c r="J20" s="155">
        <v>0.05</v>
      </c>
      <c r="K20" s="80">
        <v>12350</v>
      </c>
      <c r="L20" s="81">
        <v>13650</v>
      </c>
    </row>
    <row r="21" spans="1:25" ht="30" customHeight="1" x14ac:dyDescent="0.25">
      <c r="A21" s="579" t="s">
        <v>1</v>
      </c>
      <c r="B21" s="140">
        <v>2</v>
      </c>
      <c r="C21" s="141">
        <v>0.25</v>
      </c>
      <c r="D21" s="90">
        <v>1.75</v>
      </c>
      <c r="E21" s="143">
        <v>2.25</v>
      </c>
      <c r="F21" s="125"/>
      <c r="G21" s="125"/>
      <c r="H21" s="579" t="s">
        <v>1</v>
      </c>
      <c r="I21" s="156">
        <v>2</v>
      </c>
      <c r="J21" s="141">
        <v>0.25</v>
      </c>
      <c r="K21" s="90">
        <v>1.35</v>
      </c>
      <c r="L21" s="143">
        <v>1.25</v>
      </c>
    </row>
    <row r="22" spans="1:25" ht="30" customHeight="1" x14ac:dyDescent="0.25">
      <c r="A22" s="579"/>
      <c r="B22" s="144">
        <v>10</v>
      </c>
      <c r="C22" s="145">
        <v>0.25</v>
      </c>
      <c r="D22" s="146">
        <v>9.75</v>
      </c>
      <c r="E22" s="147">
        <v>10.25</v>
      </c>
      <c r="F22" s="125"/>
      <c r="G22" s="125"/>
      <c r="H22" s="579"/>
      <c r="I22" s="144">
        <v>5</v>
      </c>
      <c r="J22" s="145">
        <v>0.25</v>
      </c>
      <c r="K22" s="146" t="s">
        <v>49</v>
      </c>
      <c r="L22" s="147" t="s">
        <v>50</v>
      </c>
    </row>
    <row r="23" spans="1:25" ht="30" customHeight="1" thickBot="1" x14ac:dyDescent="0.3">
      <c r="A23" s="580"/>
      <c r="B23" s="148">
        <v>15</v>
      </c>
      <c r="C23" s="149">
        <v>0.25</v>
      </c>
      <c r="D23" s="150">
        <v>15.25</v>
      </c>
      <c r="E23" s="151">
        <v>15.25</v>
      </c>
      <c r="F23" s="125"/>
      <c r="G23" s="125"/>
      <c r="H23" s="580"/>
      <c r="I23" s="148">
        <v>7</v>
      </c>
      <c r="J23" s="149">
        <v>0.25</v>
      </c>
      <c r="K23" s="150" t="s">
        <v>51</v>
      </c>
      <c r="L23" s="151" t="s">
        <v>52</v>
      </c>
    </row>
    <row r="24" spans="1:25" ht="15" customHeight="1" thickBot="1" x14ac:dyDescent="0.3">
      <c r="A24" s="157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9"/>
    </row>
    <row r="25" spans="1:25" ht="30" customHeight="1" thickBot="1" x14ac:dyDescent="0.3">
      <c r="A25" s="621" t="s">
        <v>19</v>
      </c>
      <c r="B25" s="622"/>
      <c r="C25" s="622"/>
      <c r="D25" s="622"/>
      <c r="E25" s="622"/>
      <c r="F25" s="622"/>
      <c r="G25" s="622"/>
      <c r="H25" s="622"/>
      <c r="I25" s="622"/>
      <c r="J25" s="622"/>
      <c r="K25" s="622"/>
      <c r="L25" s="623"/>
    </row>
    <row r="26" spans="1:25" ht="50.1" customHeight="1" thickBot="1" x14ac:dyDescent="0.3">
      <c r="A26" s="624" t="s">
        <v>9</v>
      </c>
      <c r="B26" s="625"/>
      <c r="C26" s="162" t="s">
        <v>4</v>
      </c>
      <c r="D26" s="162" t="s">
        <v>2</v>
      </c>
      <c r="E26" s="162" t="s">
        <v>3</v>
      </c>
      <c r="F26" s="125"/>
      <c r="G26" s="125"/>
      <c r="H26" s="624" t="s">
        <v>10</v>
      </c>
      <c r="I26" s="625"/>
      <c r="J26" s="162" t="s">
        <v>4</v>
      </c>
      <c r="K26" s="162" t="s">
        <v>2</v>
      </c>
      <c r="L26" s="162" t="s">
        <v>3</v>
      </c>
    </row>
    <row r="27" spans="1:25" ht="30" customHeight="1" x14ac:dyDescent="0.25">
      <c r="A27" s="578" t="s">
        <v>0</v>
      </c>
      <c r="B27" s="126">
        <v>2270</v>
      </c>
      <c r="C27" s="127">
        <v>0.05</v>
      </c>
      <c r="D27" s="128">
        <f>B27*(1-C27)</f>
        <v>2156.5</v>
      </c>
      <c r="E27" s="128">
        <f>B27*(1+C27)</f>
        <v>2383.5</v>
      </c>
      <c r="F27" s="125"/>
      <c r="G27" s="125"/>
      <c r="H27" s="578" t="s">
        <v>0</v>
      </c>
      <c r="I27" s="126">
        <v>2200</v>
      </c>
      <c r="J27" s="127">
        <v>0.05</v>
      </c>
      <c r="K27" s="128">
        <f>I27*(1-J27)</f>
        <v>2090</v>
      </c>
      <c r="L27" s="129">
        <f>I27*(1+J27)</f>
        <v>2310</v>
      </c>
    </row>
    <row r="28" spans="1:25" ht="30" customHeight="1" x14ac:dyDescent="0.25">
      <c r="A28" s="579"/>
      <c r="B28" s="130">
        <v>2780</v>
      </c>
      <c r="C28" s="131">
        <v>0.05</v>
      </c>
      <c r="D28" s="132">
        <f t="shared" ref="D28:D29" si="4">B28*(1-C28)</f>
        <v>2641</v>
      </c>
      <c r="E28" s="133">
        <f t="shared" ref="E28:E29" si="5">B28*(1+C28)</f>
        <v>2919</v>
      </c>
      <c r="F28" s="125"/>
      <c r="G28" s="125"/>
      <c r="H28" s="579"/>
      <c r="I28" s="130">
        <v>2700</v>
      </c>
      <c r="J28" s="131">
        <v>0.05</v>
      </c>
      <c r="K28" s="132">
        <f t="shared" ref="K28:K29" si="6">I28*(1-J28)</f>
        <v>2565</v>
      </c>
      <c r="L28" s="133">
        <f>I28*(1+J28)</f>
        <v>2835</v>
      </c>
    </row>
    <row r="29" spans="1:25" ht="30" customHeight="1" thickBot="1" x14ac:dyDescent="0.3">
      <c r="A29" s="580"/>
      <c r="B29" s="154">
        <v>3210</v>
      </c>
      <c r="C29" s="155">
        <v>0.05</v>
      </c>
      <c r="D29" s="80">
        <f t="shared" si="4"/>
        <v>3049.5</v>
      </c>
      <c r="E29" s="81">
        <f t="shared" si="5"/>
        <v>3370.5</v>
      </c>
      <c r="F29" s="125"/>
      <c r="G29" s="125"/>
      <c r="H29" s="580"/>
      <c r="I29" s="154">
        <v>3110</v>
      </c>
      <c r="J29" s="155">
        <v>0.05</v>
      </c>
      <c r="K29" s="80">
        <f t="shared" si="6"/>
        <v>2954.5</v>
      </c>
      <c r="L29" s="81">
        <f>I29*(1+J29)</f>
        <v>3265.5</v>
      </c>
    </row>
    <row r="30" spans="1:25" ht="30" customHeight="1" x14ac:dyDescent="0.25">
      <c r="A30" s="579" t="s">
        <v>1</v>
      </c>
      <c r="B30" s="140">
        <v>2</v>
      </c>
      <c r="C30" s="141">
        <v>0.25</v>
      </c>
      <c r="D30" s="90">
        <v>1.75</v>
      </c>
      <c r="E30" s="143">
        <v>2.25</v>
      </c>
      <c r="F30" s="125"/>
      <c r="G30" s="125"/>
      <c r="H30" s="579" t="s">
        <v>1</v>
      </c>
      <c r="I30" s="140">
        <v>2</v>
      </c>
      <c r="J30" s="141">
        <v>0.25</v>
      </c>
      <c r="K30" s="90">
        <v>1.35</v>
      </c>
      <c r="L30" s="143">
        <v>1.25</v>
      </c>
    </row>
    <row r="31" spans="1:25" ht="30" customHeight="1" x14ac:dyDescent="0.25">
      <c r="A31" s="579"/>
      <c r="B31" s="144">
        <v>10</v>
      </c>
      <c r="C31" s="145">
        <v>0.25</v>
      </c>
      <c r="D31" s="146">
        <v>9.75</v>
      </c>
      <c r="E31" s="147">
        <v>10.25</v>
      </c>
      <c r="F31" s="125"/>
      <c r="G31" s="125"/>
      <c r="H31" s="579"/>
      <c r="I31" s="144">
        <v>10</v>
      </c>
      <c r="J31" s="145">
        <v>0.25</v>
      </c>
      <c r="K31" s="146">
        <v>9.35</v>
      </c>
      <c r="L31" s="147">
        <v>9.25</v>
      </c>
    </row>
    <row r="32" spans="1:25" ht="30" customHeight="1" thickBot="1" x14ac:dyDescent="0.3">
      <c r="A32" s="580"/>
      <c r="B32" s="148">
        <v>15</v>
      </c>
      <c r="C32" s="149">
        <v>0.25</v>
      </c>
      <c r="D32" s="150">
        <v>15.25</v>
      </c>
      <c r="E32" s="151">
        <v>15.25</v>
      </c>
      <c r="F32" s="125"/>
      <c r="G32" s="125"/>
      <c r="H32" s="580"/>
      <c r="I32" s="148">
        <v>15</v>
      </c>
      <c r="J32" s="149">
        <v>0.25</v>
      </c>
      <c r="K32" s="150">
        <v>15.35</v>
      </c>
      <c r="L32" s="151">
        <v>15.25</v>
      </c>
    </row>
    <row r="33" spans="1:12" ht="24" customHeight="1" thickBot="1" x14ac:dyDescent="0.3">
      <c r="A33" s="28"/>
      <c r="B33" s="461"/>
      <c r="C33" s="462"/>
      <c r="D33" s="463"/>
      <c r="E33" s="463"/>
      <c r="F33" s="125"/>
      <c r="G33" s="125"/>
      <c r="L33" s="123"/>
    </row>
    <row r="34" spans="1:12" ht="34.5" customHeight="1" thickBot="1" x14ac:dyDescent="0.3">
      <c r="A34" s="624" t="s">
        <v>164</v>
      </c>
      <c r="B34" s="625"/>
      <c r="C34" s="162" t="s">
        <v>4</v>
      </c>
      <c r="D34" s="162" t="s">
        <v>2</v>
      </c>
      <c r="E34" s="162" t="s">
        <v>3</v>
      </c>
      <c r="F34" s="125"/>
      <c r="G34" s="125"/>
      <c r="L34" s="123"/>
    </row>
    <row r="35" spans="1:12" ht="18.75" customHeight="1" x14ac:dyDescent="0.25">
      <c r="A35" s="578" t="s">
        <v>0</v>
      </c>
      <c r="B35" s="126">
        <v>3700</v>
      </c>
      <c r="C35" s="127">
        <v>0.05</v>
      </c>
      <c r="D35" s="128">
        <f>B35*(1-C35)</f>
        <v>3515</v>
      </c>
      <c r="E35" s="129">
        <f>B35*(1+C35)</f>
        <v>3885</v>
      </c>
      <c r="F35" s="125"/>
      <c r="G35" s="125"/>
      <c r="L35" s="123"/>
    </row>
    <row r="36" spans="1:12" ht="21.75" customHeight="1" x14ac:dyDescent="0.25">
      <c r="A36" s="579"/>
      <c r="B36" s="130">
        <v>3980</v>
      </c>
      <c r="C36" s="131">
        <v>0.05</v>
      </c>
      <c r="D36" s="132">
        <f t="shared" ref="D36:D37" si="7">B36*(1-C36)</f>
        <v>3781</v>
      </c>
      <c r="E36" s="133">
        <f t="shared" ref="E36:E37" si="8">B36*(1+C36)</f>
        <v>4179</v>
      </c>
      <c r="F36" s="125"/>
      <c r="G36" s="125"/>
      <c r="L36" s="123"/>
    </row>
    <row r="37" spans="1:12" ht="21.75" customHeight="1" thickBot="1" x14ac:dyDescent="0.3">
      <c r="A37" s="580"/>
      <c r="B37" s="154">
        <v>4590</v>
      </c>
      <c r="C37" s="155">
        <v>0.05</v>
      </c>
      <c r="D37" s="80">
        <f t="shared" si="7"/>
        <v>4360.5</v>
      </c>
      <c r="E37" s="81">
        <f t="shared" si="8"/>
        <v>4819.5</v>
      </c>
      <c r="F37" s="125"/>
      <c r="G37" s="125"/>
      <c r="L37" s="123"/>
    </row>
    <row r="38" spans="1:12" ht="30" customHeight="1" x14ac:dyDescent="0.25">
      <c r="A38" s="579" t="s">
        <v>1</v>
      </c>
      <c r="B38" s="140">
        <v>5</v>
      </c>
      <c r="C38" s="141">
        <v>0.25</v>
      </c>
      <c r="D38" s="90">
        <v>4.75</v>
      </c>
      <c r="E38" s="143">
        <v>5.25</v>
      </c>
      <c r="F38" s="125"/>
      <c r="G38" s="125"/>
      <c r="L38" s="123"/>
    </row>
    <row r="39" spans="1:12" ht="30" customHeight="1" x14ac:dyDescent="0.25">
      <c r="A39" s="579"/>
      <c r="B39" s="144">
        <v>10</v>
      </c>
      <c r="C39" s="145">
        <v>0.25</v>
      </c>
      <c r="D39" s="146">
        <v>9.75</v>
      </c>
      <c r="E39" s="147">
        <v>10.25</v>
      </c>
      <c r="F39" s="125"/>
      <c r="G39" s="125"/>
      <c r="L39" s="123"/>
    </row>
    <row r="40" spans="1:12" ht="30" customHeight="1" thickBot="1" x14ac:dyDescent="0.3">
      <c r="A40" s="580"/>
      <c r="B40" s="148">
        <v>15</v>
      </c>
      <c r="C40" s="149">
        <v>0.25</v>
      </c>
      <c r="D40" s="150">
        <v>15.25</v>
      </c>
      <c r="E40" s="151">
        <v>15.25</v>
      </c>
      <c r="F40" s="158"/>
      <c r="G40" s="158"/>
      <c r="H40" s="164"/>
      <c r="I40" s="164"/>
      <c r="J40" s="164"/>
      <c r="K40" s="164"/>
      <c r="L40" s="165"/>
    </row>
    <row r="41" spans="1:12" ht="27" customHeight="1" thickBot="1" x14ac:dyDescent="0.45">
      <c r="A41" s="615" t="s">
        <v>15</v>
      </c>
      <c r="B41" s="616"/>
      <c r="C41" s="616"/>
      <c r="D41" s="616"/>
      <c r="E41" s="616"/>
      <c r="F41" s="616"/>
      <c r="G41" s="616"/>
      <c r="H41" s="616"/>
      <c r="I41" s="616"/>
      <c r="J41" s="616"/>
      <c r="K41" s="616"/>
      <c r="L41" s="617"/>
    </row>
    <row r="42" spans="1:12" s="14" customFormat="1" ht="50.1" customHeight="1" thickBot="1" x14ac:dyDescent="0.3">
      <c r="A42" s="637" t="s">
        <v>11</v>
      </c>
      <c r="B42" s="638"/>
      <c r="C42" s="166" t="s">
        <v>4</v>
      </c>
      <c r="D42" s="166" t="s">
        <v>2</v>
      </c>
      <c r="E42" s="166" t="s">
        <v>3</v>
      </c>
      <c r="H42" s="637" t="s">
        <v>12</v>
      </c>
      <c r="I42" s="638"/>
      <c r="J42" s="166" t="s">
        <v>4</v>
      </c>
      <c r="K42" s="166" t="s">
        <v>2</v>
      </c>
      <c r="L42" s="166" t="s">
        <v>3</v>
      </c>
    </row>
    <row r="43" spans="1:12" ht="30" customHeight="1" x14ac:dyDescent="0.25">
      <c r="A43" s="578" t="s">
        <v>0</v>
      </c>
      <c r="B43" s="126">
        <v>2200</v>
      </c>
      <c r="C43" s="127">
        <v>0.05</v>
      </c>
      <c r="D43" s="128">
        <f>B43*(1-C43)</f>
        <v>2090</v>
      </c>
      <c r="E43" s="128">
        <f>B43*(1+C43)</f>
        <v>2310</v>
      </c>
      <c r="H43" s="578" t="s">
        <v>0</v>
      </c>
      <c r="I43" s="126">
        <v>500</v>
      </c>
      <c r="J43" s="127">
        <v>0.05</v>
      </c>
      <c r="K43" s="128">
        <f>I43*(1-J43)</f>
        <v>475</v>
      </c>
      <c r="L43" s="128">
        <f>I43*(1-J43)</f>
        <v>475</v>
      </c>
    </row>
    <row r="44" spans="1:12" x14ac:dyDescent="0.25">
      <c r="A44" s="579"/>
      <c r="B44" s="130">
        <v>2800</v>
      </c>
      <c r="C44" s="131">
        <v>0.05</v>
      </c>
      <c r="D44" s="132">
        <f t="shared" ref="D44:D45" si="9">B44*(1-C44)</f>
        <v>2660</v>
      </c>
      <c r="E44" s="133">
        <f t="shared" ref="E44" si="10">B44*(1+C44)</f>
        <v>2940</v>
      </c>
      <c r="H44" s="579"/>
      <c r="I44" s="130">
        <v>1000</v>
      </c>
      <c r="J44" s="131">
        <v>0.05</v>
      </c>
      <c r="K44" s="132">
        <f t="shared" ref="K44:K45" si="11">I44*(1-J44)</f>
        <v>950</v>
      </c>
      <c r="L44" s="133">
        <f>I44*(1-J44)</f>
        <v>950</v>
      </c>
    </row>
    <row r="45" spans="1:12" ht="30" customHeight="1" thickBot="1" x14ac:dyDescent="0.3">
      <c r="A45" s="579"/>
      <c r="B45" s="154">
        <v>3200</v>
      </c>
      <c r="C45" s="155">
        <v>0.05</v>
      </c>
      <c r="D45" s="80">
        <f t="shared" si="9"/>
        <v>3040</v>
      </c>
      <c r="E45" s="81">
        <f>B45*(1+C45)</f>
        <v>3360</v>
      </c>
      <c r="H45" s="579"/>
      <c r="I45" s="135">
        <v>1500</v>
      </c>
      <c r="J45" s="136">
        <v>0.05</v>
      </c>
      <c r="K45" s="75">
        <f t="shared" si="11"/>
        <v>1425</v>
      </c>
      <c r="L45" s="76">
        <f>I45*(1-J45)</f>
        <v>1425</v>
      </c>
    </row>
    <row r="46" spans="1:12" ht="30" customHeight="1" x14ac:dyDescent="0.25">
      <c r="A46" s="578" t="s">
        <v>1</v>
      </c>
      <c r="B46" s="140">
        <v>2</v>
      </c>
      <c r="C46" s="141">
        <v>0.25</v>
      </c>
      <c r="D46" s="90">
        <v>1.75</v>
      </c>
      <c r="E46" s="143">
        <v>2.25</v>
      </c>
      <c r="H46" s="578" t="s">
        <v>1</v>
      </c>
      <c r="I46" s="140">
        <v>5</v>
      </c>
      <c r="J46" s="443">
        <v>0.25</v>
      </c>
      <c r="K46" s="142">
        <v>4.75</v>
      </c>
      <c r="L46" s="143">
        <v>5.25</v>
      </c>
    </row>
    <row r="47" spans="1:12" ht="30" customHeight="1" x14ac:dyDescent="0.25">
      <c r="A47" s="579"/>
      <c r="B47" s="144">
        <v>10</v>
      </c>
      <c r="C47" s="145">
        <v>0.25</v>
      </c>
      <c r="D47" s="146">
        <v>9.75</v>
      </c>
      <c r="E47" s="147">
        <v>10.25</v>
      </c>
      <c r="H47" s="579"/>
      <c r="I47" s="144">
        <v>7</v>
      </c>
      <c r="J47" s="444">
        <v>0.25</v>
      </c>
      <c r="K47" s="146">
        <v>6.75</v>
      </c>
      <c r="L47" s="147">
        <v>7.25</v>
      </c>
    </row>
    <row r="48" spans="1:12" ht="30" customHeight="1" thickBot="1" x14ac:dyDescent="0.3">
      <c r="A48" s="580"/>
      <c r="B48" s="148">
        <v>15</v>
      </c>
      <c r="C48" s="149">
        <v>0.25</v>
      </c>
      <c r="D48" s="150">
        <v>15.25</v>
      </c>
      <c r="E48" s="151">
        <v>15.25</v>
      </c>
      <c r="H48" s="580"/>
      <c r="I48" s="347">
        <v>10</v>
      </c>
      <c r="J48" s="445">
        <v>0.25</v>
      </c>
      <c r="K48" s="167">
        <v>9.75</v>
      </c>
      <c r="L48" s="168">
        <v>10.25</v>
      </c>
    </row>
    <row r="49" spans="1:12" ht="15" customHeight="1" thickBot="1" x14ac:dyDescent="0.3">
      <c r="A49" s="163"/>
      <c r="B49" s="164"/>
      <c r="C49" s="164"/>
      <c r="D49" s="164"/>
      <c r="E49" s="164"/>
      <c r="F49" s="164"/>
      <c r="G49" s="164"/>
      <c r="H49" s="164"/>
      <c r="I49" s="164"/>
      <c r="J49" s="164"/>
      <c r="K49" s="164"/>
      <c r="L49" s="165"/>
    </row>
    <row r="50" spans="1:12" ht="15" customHeight="1" thickBot="1" x14ac:dyDescent="0.3">
      <c r="A50" s="163"/>
      <c r="B50" s="164"/>
      <c r="C50" s="164"/>
      <c r="D50" s="164"/>
      <c r="E50" s="164"/>
      <c r="H50" s="164"/>
      <c r="I50" s="164"/>
      <c r="J50" s="164"/>
      <c r="K50" s="164"/>
      <c r="L50" s="165"/>
    </row>
    <row r="51" spans="1:12" ht="30" customHeight="1" thickBot="1" x14ac:dyDescent="0.3">
      <c r="A51" s="630" t="s">
        <v>18</v>
      </c>
      <c r="B51" s="631"/>
      <c r="C51" s="631"/>
      <c r="D51" s="631"/>
      <c r="E51" s="632"/>
      <c r="F51" s="125"/>
      <c r="G51" s="125"/>
      <c r="H51" s="630" t="s">
        <v>17</v>
      </c>
      <c r="I51" s="631"/>
      <c r="J51" s="631"/>
      <c r="K51" s="631"/>
      <c r="L51" s="632"/>
    </row>
    <row r="52" spans="1:12" ht="52.5" customHeight="1" thickBot="1" x14ac:dyDescent="0.3">
      <c r="A52" s="633" t="s">
        <v>8</v>
      </c>
      <c r="B52" s="634"/>
      <c r="C52" s="169" t="s">
        <v>4</v>
      </c>
      <c r="D52" s="169" t="s">
        <v>2</v>
      </c>
      <c r="E52" s="169" t="s">
        <v>3</v>
      </c>
      <c r="F52" s="125"/>
      <c r="G52" s="125"/>
      <c r="H52" s="635" t="s">
        <v>7</v>
      </c>
      <c r="I52" s="636"/>
      <c r="J52" s="170" t="s">
        <v>4</v>
      </c>
      <c r="K52" s="170" t="s">
        <v>2</v>
      </c>
      <c r="L52" s="170" t="s">
        <v>3</v>
      </c>
    </row>
    <row r="53" spans="1:12" ht="30" customHeight="1" x14ac:dyDescent="0.25">
      <c r="A53" s="578" t="s">
        <v>0</v>
      </c>
      <c r="B53" s="126">
        <v>2600</v>
      </c>
      <c r="C53" s="127">
        <v>0.05</v>
      </c>
      <c r="D53" s="128">
        <f>B53*(1-C53)</f>
        <v>2470</v>
      </c>
      <c r="E53" s="128">
        <f>B53*(1+C53)</f>
        <v>2730</v>
      </c>
      <c r="F53" s="125"/>
      <c r="G53" s="125"/>
      <c r="H53" s="578" t="s">
        <v>0</v>
      </c>
      <c r="I53" s="126">
        <v>1500</v>
      </c>
      <c r="J53" s="127">
        <v>0.05</v>
      </c>
      <c r="K53" s="128">
        <f>I53*(1-J53)</f>
        <v>1425</v>
      </c>
      <c r="L53" s="128">
        <f>I53*(1+J53)</f>
        <v>1575</v>
      </c>
    </row>
    <row r="54" spans="1:12" ht="30" customHeight="1" x14ac:dyDescent="0.25">
      <c r="A54" s="579"/>
      <c r="B54" s="130">
        <v>3100</v>
      </c>
      <c r="C54" s="131">
        <v>0.05</v>
      </c>
      <c r="D54" s="132">
        <f t="shared" ref="D54:D55" si="12">B54*(1-C54)</f>
        <v>2945</v>
      </c>
      <c r="E54" s="133">
        <f>B54*(1+C54)</f>
        <v>3255</v>
      </c>
      <c r="F54" s="125"/>
      <c r="G54" s="125"/>
      <c r="H54" s="579"/>
      <c r="I54" s="130">
        <v>2600</v>
      </c>
      <c r="J54" s="131">
        <v>0.05</v>
      </c>
      <c r="K54" s="132">
        <f t="shared" ref="K54:K55" si="13">I54*(1-J54)</f>
        <v>2470</v>
      </c>
      <c r="L54" s="133">
        <f t="shared" ref="L54:L55" si="14">I54*(1+J54)</f>
        <v>2730</v>
      </c>
    </row>
    <row r="55" spans="1:12" ht="30" customHeight="1" thickBot="1" x14ac:dyDescent="0.3">
      <c r="A55" s="580"/>
      <c r="B55" s="154">
        <v>3600</v>
      </c>
      <c r="C55" s="155">
        <v>0.05</v>
      </c>
      <c r="D55" s="80">
        <f t="shared" si="12"/>
        <v>3420</v>
      </c>
      <c r="E55" s="81">
        <f>B55*(1+C55)</f>
        <v>3780</v>
      </c>
      <c r="F55" s="125"/>
      <c r="G55" s="125"/>
      <c r="H55" s="580"/>
      <c r="I55" s="154">
        <v>3400</v>
      </c>
      <c r="J55" s="155">
        <v>0.05</v>
      </c>
      <c r="K55" s="80">
        <f t="shared" si="13"/>
        <v>3230</v>
      </c>
      <c r="L55" s="81">
        <f t="shared" si="14"/>
        <v>3570</v>
      </c>
    </row>
    <row r="56" spans="1:12" ht="30" customHeight="1" x14ac:dyDescent="0.25">
      <c r="A56" s="579" t="s">
        <v>1</v>
      </c>
      <c r="B56" s="140">
        <v>2</v>
      </c>
      <c r="C56" s="141">
        <v>0.25</v>
      </c>
      <c r="D56" s="90">
        <v>1.75</v>
      </c>
      <c r="E56" s="143">
        <v>2.25</v>
      </c>
      <c r="F56" s="125"/>
      <c r="G56" s="125"/>
      <c r="H56" s="579" t="s">
        <v>1</v>
      </c>
      <c r="I56" s="140">
        <v>2</v>
      </c>
      <c r="J56" s="141">
        <v>0.25</v>
      </c>
      <c r="K56" s="90">
        <v>1.75</v>
      </c>
      <c r="L56" s="143">
        <v>2.25</v>
      </c>
    </row>
    <row r="57" spans="1:12" ht="30" customHeight="1" x14ac:dyDescent="0.25">
      <c r="A57" s="579"/>
      <c r="B57" s="144">
        <v>10</v>
      </c>
      <c r="C57" s="145">
        <v>0.25</v>
      </c>
      <c r="D57" s="146">
        <v>9.75</v>
      </c>
      <c r="E57" s="147">
        <v>10.25</v>
      </c>
      <c r="F57" s="125"/>
      <c r="G57" s="125"/>
      <c r="H57" s="579"/>
      <c r="I57" s="144">
        <v>10</v>
      </c>
      <c r="J57" s="145">
        <v>0.25</v>
      </c>
      <c r="K57" s="146">
        <v>9.75</v>
      </c>
      <c r="L57" s="147">
        <v>10.25</v>
      </c>
    </row>
    <row r="58" spans="1:12" ht="30" customHeight="1" thickBot="1" x14ac:dyDescent="0.3">
      <c r="A58" s="580"/>
      <c r="B58" s="148">
        <v>15</v>
      </c>
      <c r="C58" s="149">
        <v>0.25</v>
      </c>
      <c r="D58" s="150">
        <v>15.25</v>
      </c>
      <c r="E58" s="151">
        <v>15.25</v>
      </c>
      <c r="F58" s="158"/>
      <c r="G58" s="158"/>
      <c r="H58" s="580"/>
      <c r="I58" s="148">
        <v>15</v>
      </c>
      <c r="J58" s="149">
        <v>0.25</v>
      </c>
      <c r="K58" s="150">
        <v>15.25</v>
      </c>
      <c r="L58" s="151">
        <v>15.25</v>
      </c>
    </row>
    <row r="59" spans="1:12" ht="15" customHeight="1" thickBot="1" x14ac:dyDescent="0.3">
      <c r="A59" s="163"/>
      <c r="B59" s="164"/>
      <c r="C59" s="164"/>
      <c r="D59" s="164"/>
      <c r="E59" s="164"/>
      <c r="H59" s="164"/>
      <c r="I59" s="164"/>
      <c r="J59" s="164"/>
      <c r="K59" s="164"/>
      <c r="L59" s="165"/>
    </row>
    <row r="60" spans="1:12" ht="30" customHeight="1" thickBot="1" x14ac:dyDescent="0.3">
      <c r="A60" s="594" t="s">
        <v>101</v>
      </c>
      <c r="B60" s="595"/>
      <c r="C60" s="595"/>
      <c r="D60" s="595"/>
      <c r="E60" s="596"/>
      <c r="F60" s="125"/>
      <c r="G60" s="125"/>
      <c r="H60" s="630" t="s">
        <v>103</v>
      </c>
      <c r="I60" s="631"/>
      <c r="J60" s="631"/>
      <c r="K60" s="631"/>
      <c r="L60" s="632"/>
    </row>
    <row r="61" spans="1:12" ht="57" customHeight="1" thickBot="1" x14ac:dyDescent="0.3">
      <c r="A61" s="639" t="s">
        <v>102</v>
      </c>
      <c r="B61" s="640"/>
      <c r="C61" s="261" t="s">
        <v>4</v>
      </c>
      <c r="D61" s="261" t="s">
        <v>2</v>
      </c>
      <c r="E61" s="261" t="s">
        <v>3</v>
      </c>
      <c r="F61" s="125"/>
      <c r="G61" s="125"/>
      <c r="H61" s="641" t="s">
        <v>104</v>
      </c>
      <c r="I61" s="642"/>
      <c r="J61" s="265" t="s">
        <v>4</v>
      </c>
      <c r="K61" s="265" t="s">
        <v>2</v>
      </c>
      <c r="L61" s="265" t="s">
        <v>3</v>
      </c>
    </row>
    <row r="62" spans="1:12" ht="30" customHeight="1" x14ac:dyDescent="0.25">
      <c r="A62" s="517" t="s">
        <v>0</v>
      </c>
      <c r="B62" s="109">
        <v>800</v>
      </c>
      <c r="C62" s="110">
        <v>0.05</v>
      </c>
      <c r="D62" s="128">
        <f>B62*(1-C62)</f>
        <v>760</v>
      </c>
      <c r="E62" s="129">
        <f>B62*(1+C62)</f>
        <v>840</v>
      </c>
      <c r="F62" s="125"/>
      <c r="G62" s="125"/>
      <c r="H62" s="517" t="s">
        <v>0</v>
      </c>
      <c r="I62" s="647">
        <v>6400</v>
      </c>
      <c r="J62" s="649">
        <v>0.05</v>
      </c>
      <c r="K62" s="643">
        <f>I62-320</f>
        <v>6080</v>
      </c>
      <c r="L62" s="645">
        <f>I62+320</f>
        <v>6720</v>
      </c>
    </row>
    <row r="63" spans="1:12" ht="30" customHeight="1" thickBot="1" x14ac:dyDescent="0.3">
      <c r="A63" s="521"/>
      <c r="B63" s="88">
        <v>1500</v>
      </c>
      <c r="C63" s="98">
        <v>0.05</v>
      </c>
      <c r="D63" s="264">
        <f>B63*(1-C63)</f>
        <v>1425</v>
      </c>
      <c r="E63" s="260">
        <f>B63*(1+C63)</f>
        <v>1575</v>
      </c>
      <c r="F63" s="125"/>
      <c r="G63" s="125"/>
      <c r="H63" s="521"/>
      <c r="I63" s="648"/>
      <c r="J63" s="650"/>
      <c r="K63" s="644"/>
      <c r="L63" s="646"/>
    </row>
    <row r="64" spans="1:12" ht="30" customHeight="1" x14ac:dyDescent="0.25">
      <c r="A64" s="611" t="s">
        <v>1</v>
      </c>
      <c r="B64" s="655">
        <v>5</v>
      </c>
      <c r="C64" s="657">
        <v>0.25</v>
      </c>
      <c r="D64" s="659">
        <v>4.75</v>
      </c>
      <c r="E64" s="592">
        <v>5.25</v>
      </c>
      <c r="F64" s="125"/>
      <c r="G64" s="125"/>
    </row>
    <row r="65" spans="1:12" ht="30" customHeight="1" thickBot="1" x14ac:dyDescent="0.3">
      <c r="A65" s="612"/>
      <c r="B65" s="656"/>
      <c r="C65" s="658"/>
      <c r="D65" s="660"/>
      <c r="E65" s="593"/>
      <c r="F65" s="125"/>
      <c r="G65" s="125"/>
    </row>
    <row r="66" spans="1:12" ht="30" customHeight="1" x14ac:dyDescent="0.25">
      <c r="A66" s="611" t="s">
        <v>161</v>
      </c>
      <c r="B66" s="613">
        <v>35</v>
      </c>
      <c r="C66" s="651">
        <v>1.5</v>
      </c>
      <c r="D66" s="653">
        <f>B66-C66</f>
        <v>33.5</v>
      </c>
      <c r="E66" s="609">
        <f>B66+C66</f>
        <v>36.5</v>
      </c>
      <c r="F66" s="125"/>
      <c r="G66" s="125"/>
    </row>
    <row r="67" spans="1:12" ht="30" customHeight="1" thickBot="1" x14ac:dyDescent="0.3">
      <c r="A67" s="612"/>
      <c r="B67" s="614"/>
      <c r="C67" s="652"/>
      <c r="D67" s="654"/>
      <c r="E67" s="610"/>
      <c r="F67" s="125"/>
      <c r="G67" s="125"/>
    </row>
    <row r="68" spans="1:12" ht="30" customHeight="1" thickBot="1" x14ac:dyDescent="0.3">
      <c r="F68" s="125"/>
      <c r="G68" s="125"/>
    </row>
    <row r="69" spans="1:12" ht="30" customHeight="1" thickBot="1" x14ac:dyDescent="0.3">
      <c r="A69" s="594" t="s">
        <v>105</v>
      </c>
      <c r="B69" s="595"/>
      <c r="C69" s="595"/>
      <c r="D69" s="595"/>
      <c r="E69" s="596"/>
      <c r="F69" s="125"/>
      <c r="G69" s="125"/>
      <c r="H69" s="594" t="s">
        <v>107</v>
      </c>
      <c r="I69" s="595"/>
      <c r="J69" s="595"/>
      <c r="K69" s="595"/>
      <c r="L69" s="596"/>
    </row>
    <row r="70" spans="1:12" ht="57" customHeight="1" thickBot="1" x14ac:dyDescent="0.3">
      <c r="A70" s="599" t="s">
        <v>106</v>
      </c>
      <c r="B70" s="600"/>
      <c r="C70" s="266" t="s">
        <v>4</v>
      </c>
      <c r="D70" s="266" t="s">
        <v>2</v>
      </c>
      <c r="E70" s="266" t="s">
        <v>3</v>
      </c>
      <c r="F70" s="125"/>
      <c r="G70" s="125"/>
      <c r="H70" s="597" t="s">
        <v>108</v>
      </c>
      <c r="I70" s="598"/>
      <c r="J70" s="267" t="s">
        <v>4</v>
      </c>
      <c r="K70" s="267" t="s">
        <v>2</v>
      </c>
      <c r="L70" s="267" t="s">
        <v>3</v>
      </c>
    </row>
    <row r="71" spans="1:12" ht="30" customHeight="1" x14ac:dyDescent="0.25">
      <c r="A71" s="578" t="s">
        <v>0</v>
      </c>
      <c r="B71" s="601">
        <v>2800</v>
      </c>
      <c r="C71" s="603">
        <v>0.05</v>
      </c>
      <c r="D71" s="605">
        <f>B71*(1-C71)</f>
        <v>2660</v>
      </c>
      <c r="E71" s="607">
        <f>B71*(1+C71)</f>
        <v>2940</v>
      </c>
      <c r="F71" s="125"/>
      <c r="G71" s="125"/>
      <c r="H71" s="578" t="s">
        <v>0</v>
      </c>
      <c r="I71" s="126">
        <v>1500</v>
      </c>
      <c r="J71" s="127">
        <v>0.05</v>
      </c>
      <c r="K71" s="128">
        <f>I71*(1-J71)</f>
        <v>1425</v>
      </c>
      <c r="L71" s="129">
        <f>I71*(1+J71)</f>
        <v>1575</v>
      </c>
    </row>
    <row r="72" spans="1:12" ht="30" customHeight="1" thickBot="1" x14ac:dyDescent="0.3">
      <c r="A72" s="580"/>
      <c r="B72" s="602"/>
      <c r="C72" s="604"/>
      <c r="D72" s="606"/>
      <c r="E72" s="608"/>
      <c r="F72" s="125"/>
      <c r="G72" s="125"/>
      <c r="H72" s="579"/>
      <c r="I72" s="130">
        <v>2500</v>
      </c>
      <c r="J72" s="131">
        <v>0.05</v>
      </c>
      <c r="K72" s="132">
        <f>I72*(1-J72)</f>
        <v>2375</v>
      </c>
      <c r="L72" s="133">
        <f t="shared" ref="L72" si="15">I72*(1+J72)</f>
        <v>2625</v>
      </c>
    </row>
    <row r="73" spans="1:12" ht="31.5" customHeight="1" thickBot="1" x14ac:dyDescent="0.3">
      <c r="A73" s="439" t="s">
        <v>1</v>
      </c>
      <c r="B73" s="104">
        <v>1</v>
      </c>
      <c r="C73" s="440">
        <v>0.25</v>
      </c>
      <c r="D73" s="441">
        <v>0.75</v>
      </c>
      <c r="E73" s="442">
        <v>1.25</v>
      </c>
      <c r="H73" s="580"/>
      <c r="I73" s="135">
        <v>3500</v>
      </c>
      <c r="J73" s="136">
        <v>0.05</v>
      </c>
      <c r="K73" s="75">
        <f t="shared" ref="K73" si="16">I73*(1-J73)</f>
        <v>3325</v>
      </c>
      <c r="L73" s="76">
        <f>I73*(1+J73)</f>
        <v>3675</v>
      </c>
    </row>
    <row r="74" spans="1:12" ht="27" customHeight="1" x14ac:dyDescent="0.25">
      <c r="H74" s="519" t="s">
        <v>1</v>
      </c>
      <c r="I74" s="82">
        <v>2</v>
      </c>
      <c r="J74" s="269">
        <v>0.25</v>
      </c>
      <c r="K74" s="90">
        <v>1.75</v>
      </c>
      <c r="L74" s="143">
        <v>2.25</v>
      </c>
    </row>
    <row r="75" spans="1:12" ht="24.75" customHeight="1" x14ac:dyDescent="0.25">
      <c r="H75" s="519"/>
      <c r="I75" s="270">
        <v>5</v>
      </c>
      <c r="J75" s="268">
        <v>0.25</v>
      </c>
      <c r="K75" s="146">
        <v>4.75</v>
      </c>
      <c r="L75" s="147">
        <v>5.25</v>
      </c>
    </row>
    <row r="76" spans="1:12" ht="27" customHeight="1" thickBot="1" x14ac:dyDescent="0.3">
      <c r="H76" s="521"/>
      <c r="I76" s="88">
        <v>10</v>
      </c>
      <c r="J76" s="271">
        <v>0.25</v>
      </c>
      <c r="K76" s="167">
        <v>9.75</v>
      </c>
      <c r="L76" s="168">
        <v>10.25</v>
      </c>
    </row>
  </sheetData>
  <mergeCells count="74">
    <mergeCell ref="C66:C67"/>
    <mergeCell ref="D66:D67"/>
    <mergeCell ref="B64:B65"/>
    <mergeCell ref="C64:C65"/>
    <mergeCell ref="D64:D65"/>
    <mergeCell ref="A61:B61"/>
    <mergeCell ref="H61:I61"/>
    <mergeCell ref="A62:A63"/>
    <mergeCell ref="K62:K63"/>
    <mergeCell ref="L62:L63"/>
    <mergeCell ref="H62:H63"/>
    <mergeCell ref="I62:I63"/>
    <mergeCell ref="J62:J63"/>
    <mergeCell ref="A53:A55"/>
    <mergeCell ref="H53:H55"/>
    <mergeCell ref="A56:A58"/>
    <mergeCell ref="H56:H58"/>
    <mergeCell ref="A60:E60"/>
    <mergeCell ref="H60:L60"/>
    <mergeCell ref="A30:A32"/>
    <mergeCell ref="H30:H32"/>
    <mergeCell ref="A51:E51"/>
    <mergeCell ref="H51:L51"/>
    <mergeCell ref="A52:B52"/>
    <mergeCell ref="H52:I52"/>
    <mergeCell ref="A46:A48"/>
    <mergeCell ref="H46:H48"/>
    <mergeCell ref="A43:A45"/>
    <mergeCell ref="H43:H45"/>
    <mergeCell ref="A41:L41"/>
    <mergeCell ref="A42:B42"/>
    <mergeCell ref="H42:I42"/>
    <mergeCell ref="A34:B34"/>
    <mergeCell ref="A35:A37"/>
    <mergeCell ref="A38:A40"/>
    <mergeCell ref="A18:A20"/>
    <mergeCell ref="H18:H20"/>
    <mergeCell ref="A9:B9"/>
    <mergeCell ref="H9:I9"/>
    <mergeCell ref="A10:A12"/>
    <mergeCell ref="H10:H12"/>
    <mergeCell ref="M9:Y17"/>
    <mergeCell ref="A13:A15"/>
    <mergeCell ref="H13:H15"/>
    <mergeCell ref="A17:B17"/>
    <mergeCell ref="H17:I17"/>
    <mergeCell ref="H21:H23"/>
    <mergeCell ref="A25:L25"/>
    <mergeCell ref="A26:B26"/>
    <mergeCell ref="H26:I26"/>
    <mergeCell ref="A27:A29"/>
    <mergeCell ref="H27:H29"/>
    <mergeCell ref="A21:A23"/>
    <mergeCell ref="A8:L8"/>
    <mergeCell ref="A6:L6"/>
    <mergeCell ref="A4:J4"/>
    <mergeCell ref="A3:L3"/>
    <mergeCell ref="B1:J2"/>
    <mergeCell ref="E64:E65"/>
    <mergeCell ref="H74:H76"/>
    <mergeCell ref="H69:L69"/>
    <mergeCell ref="H70:I70"/>
    <mergeCell ref="H71:H73"/>
    <mergeCell ref="A69:E69"/>
    <mergeCell ref="A70:B70"/>
    <mergeCell ref="A71:A72"/>
    <mergeCell ref="B71:B72"/>
    <mergeCell ref="C71:C72"/>
    <mergeCell ref="D71:D72"/>
    <mergeCell ref="E71:E72"/>
    <mergeCell ref="E66:E67"/>
    <mergeCell ref="A64:A65"/>
    <mergeCell ref="A66:A67"/>
    <mergeCell ref="B66:B67"/>
  </mergeCells>
  <pageMargins left="0.511811024" right="0.511811024" top="0.78740157499999996" bottom="0.78740157499999996" header="0.31496062000000002" footer="0.31496062000000002"/>
  <pageSetup paperSize="9" scale="71" fitToHeight="0" orientation="landscape" r:id="rId1"/>
  <headerFooter>
    <oddFooter>&amp;L_x000D_&amp;1#&amp;"Calibri"&amp;10&amp;K000000 Classificação da Informação: Interno</oddFooter>
  </headerFooter>
  <rowBreaks count="3" manualBreakCount="3">
    <brk id="16" max="11" man="1"/>
    <brk id="24" max="11" man="1"/>
    <brk id="59" max="11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D70E-B66D-44E4-93D1-663A97ACEA7D}">
  <sheetPr>
    <tabColor rgb="FFFFC000"/>
    <pageSetUpPr fitToPage="1"/>
  </sheetPr>
  <dimension ref="A1:P14"/>
  <sheetViews>
    <sheetView showGridLines="0" view="pageBreakPreview" topLeftCell="A8" zoomScaleNormal="80" zoomScaleSheetLayoutView="100" workbookViewId="0">
      <selection activeCell="C10" sqref="C10"/>
    </sheetView>
  </sheetViews>
  <sheetFormatPr defaultRowHeight="15" x14ac:dyDescent="0.25"/>
  <cols>
    <col min="1" max="1" width="23.7109375" customWidth="1"/>
    <col min="2" max="2" width="30.7109375" customWidth="1"/>
    <col min="3" max="4" width="13.28515625" customWidth="1"/>
    <col min="5" max="5" width="20.7109375" customWidth="1"/>
    <col min="6" max="6" width="17.7109375" customWidth="1"/>
    <col min="7" max="7" width="9.28515625" customWidth="1"/>
  </cols>
  <sheetData>
    <row r="1" spans="1:16" ht="30" customHeight="1" thickBot="1" x14ac:dyDescent="0.3">
      <c r="A1" s="2"/>
      <c r="B1" s="663" t="s">
        <v>78</v>
      </c>
      <c r="C1" s="664"/>
      <c r="D1" s="665"/>
      <c r="E1" s="3" t="s">
        <v>82</v>
      </c>
      <c r="F1" s="4" t="s">
        <v>90</v>
      </c>
    </row>
    <row r="2" spans="1:16" ht="30" customHeight="1" thickBot="1" x14ac:dyDescent="0.3">
      <c r="A2" s="5"/>
      <c r="B2" s="666"/>
      <c r="C2" s="667"/>
      <c r="D2" s="668"/>
      <c r="E2" s="6" t="s">
        <v>79</v>
      </c>
      <c r="F2" s="7" t="s">
        <v>80</v>
      </c>
    </row>
    <row r="3" spans="1:16" ht="15.75" thickBot="1" x14ac:dyDescent="0.3">
      <c r="A3" s="513" t="s">
        <v>81</v>
      </c>
      <c r="B3" s="514"/>
      <c r="C3" s="514"/>
      <c r="D3" s="514"/>
      <c r="E3" s="514"/>
      <c r="F3" s="537"/>
    </row>
    <row r="4" spans="1:16" ht="15.75" thickBot="1" x14ac:dyDescent="0.3">
      <c r="A4" s="8"/>
      <c r="B4" s="514"/>
      <c r="C4" s="514"/>
      <c r="D4" s="537"/>
      <c r="E4" s="12" t="s">
        <v>88</v>
      </c>
      <c r="F4" s="12" t="s">
        <v>89</v>
      </c>
    </row>
    <row r="5" spans="1:16" ht="15.75" thickBot="1" x14ac:dyDescent="0.3">
      <c r="A5" s="120"/>
      <c r="B5" s="121"/>
      <c r="C5" s="121"/>
      <c r="D5" s="121"/>
      <c r="E5" s="121"/>
      <c r="F5" s="122"/>
    </row>
    <row r="6" spans="1:16" ht="49.35" customHeight="1" thickBot="1" x14ac:dyDescent="0.3">
      <c r="A6" s="551" t="s">
        <v>162</v>
      </c>
      <c r="B6" s="552"/>
      <c r="C6" s="552"/>
      <c r="D6" s="552"/>
      <c r="E6" s="552"/>
      <c r="F6" s="553"/>
    </row>
    <row r="7" spans="1:16" ht="15" customHeight="1" thickBot="1" x14ac:dyDescent="0.3">
      <c r="A7" s="5"/>
      <c r="F7" s="123"/>
    </row>
    <row r="8" spans="1:16" s="14" customFormat="1" ht="50.1" customHeight="1" thickBot="1" x14ac:dyDescent="0.3">
      <c r="A8" s="669" t="s">
        <v>163</v>
      </c>
      <c r="B8" s="670"/>
      <c r="C8" s="671"/>
      <c r="D8" s="447" t="s">
        <v>4</v>
      </c>
      <c r="E8" s="447" t="s">
        <v>2</v>
      </c>
      <c r="F8" s="447" t="s">
        <v>3</v>
      </c>
      <c r="I8" s="661"/>
      <c r="J8" s="662"/>
      <c r="K8" s="662"/>
      <c r="L8" s="662"/>
      <c r="M8" s="662"/>
      <c r="N8" s="662"/>
      <c r="O8" s="662"/>
      <c r="P8" s="662"/>
    </row>
    <row r="9" spans="1:16" ht="30" customHeight="1" x14ac:dyDescent="0.25">
      <c r="A9" s="517" t="s">
        <v>110</v>
      </c>
      <c r="B9" s="548"/>
      <c r="C9" s="446">
        <v>3.6</v>
      </c>
      <c r="D9" s="276">
        <v>0.05</v>
      </c>
      <c r="E9" s="337">
        <f>C9*(1-D9)</f>
        <v>3.42</v>
      </c>
      <c r="F9" s="338">
        <f>C9*(1+D9)</f>
        <v>3.78</v>
      </c>
      <c r="G9" s="125"/>
      <c r="H9" s="459"/>
      <c r="I9" s="662"/>
      <c r="J9" s="662"/>
      <c r="K9" s="662"/>
      <c r="L9" s="662"/>
      <c r="M9" s="662"/>
      <c r="N9" s="662"/>
      <c r="O9" s="662"/>
      <c r="P9" s="662"/>
    </row>
    <row r="10" spans="1:16" ht="30" customHeight="1" x14ac:dyDescent="0.25">
      <c r="A10" s="519"/>
      <c r="B10" s="549"/>
      <c r="C10" s="449">
        <v>7.2</v>
      </c>
      <c r="D10" s="64">
        <v>0.05</v>
      </c>
      <c r="E10" s="453">
        <f t="shared" ref="E10:E14" si="0">C10*(1-D10)</f>
        <v>6.84</v>
      </c>
      <c r="F10" s="454">
        <f t="shared" ref="F10:F11" si="1">C10*(1+D10)</f>
        <v>7.56</v>
      </c>
      <c r="G10" s="125"/>
      <c r="I10" s="662"/>
      <c r="J10" s="662"/>
      <c r="K10" s="662"/>
      <c r="L10" s="662"/>
      <c r="M10" s="662"/>
      <c r="N10" s="662"/>
      <c r="O10" s="662"/>
      <c r="P10" s="662"/>
    </row>
    <row r="11" spans="1:16" ht="30" customHeight="1" thickBot="1" x14ac:dyDescent="0.3">
      <c r="A11" s="519"/>
      <c r="B11" s="549"/>
      <c r="C11" s="450">
        <v>10.8</v>
      </c>
      <c r="D11" s="451">
        <v>0.05</v>
      </c>
      <c r="E11" s="102">
        <f t="shared" si="0"/>
        <v>10.26</v>
      </c>
      <c r="F11" s="103">
        <f t="shared" si="1"/>
        <v>11.340000000000002</v>
      </c>
      <c r="G11" s="125"/>
      <c r="H11" s="174"/>
      <c r="I11" s="662"/>
      <c r="J11" s="662"/>
      <c r="K11" s="662"/>
      <c r="L11" s="662"/>
      <c r="M11" s="662"/>
      <c r="N11" s="662"/>
      <c r="O11" s="662"/>
      <c r="P11" s="662"/>
    </row>
    <row r="12" spans="1:16" ht="30" customHeight="1" x14ac:dyDescent="0.25">
      <c r="A12" s="517" t="s">
        <v>111</v>
      </c>
      <c r="B12" s="518"/>
      <c r="C12" s="448">
        <v>5</v>
      </c>
      <c r="D12" s="452">
        <v>0.05</v>
      </c>
      <c r="E12" s="455">
        <f>C12*(1-D12)</f>
        <v>4.75</v>
      </c>
      <c r="F12" s="456">
        <f>C12*(1+D12)</f>
        <v>5.25</v>
      </c>
      <c r="G12" s="125"/>
      <c r="I12" s="662"/>
      <c r="J12" s="662"/>
      <c r="K12" s="662"/>
      <c r="L12" s="662"/>
      <c r="M12" s="662"/>
      <c r="N12" s="662"/>
      <c r="O12" s="662"/>
      <c r="P12" s="662"/>
    </row>
    <row r="13" spans="1:16" ht="30" customHeight="1" x14ac:dyDescent="0.25">
      <c r="A13" s="519"/>
      <c r="B13" s="520"/>
      <c r="C13" s="58">
        <v>10</v>
      </c>
      <c r="D13" s="242">
        <v>0.05</v>
      </c>
      <c r="E13" s="457">
        <f>C13*(1-D13)</f>
        <v>9.5</v>
      </c>
      <c r="F13" s="458">
        <f>C13*(1+D13)</f>
        <v>10.5</v>
      </c>
      <c r="G13" s="125"/>
      <c r="I13" s="662"/>
      <c r="J13" s="662"/>
      <c r="K13" s="662"/>
      <c r="L13" s="662"/>
      <c r="M13" s="662"/>
      <c r="N13" s="662"/>
      <c r="O13" s="662"/>
      <c r="P13" s="662"/>
    </row>
    <row r="14" spans="1:16" ht="30" customHeight="1" thickBot="1" x14ac:dyDescent="0.3">
      <c r="A14" s="519"/>
      <c r="B14" s="520"/>
      <c r="C14" s="24">
        <v>20</v>
      </c>
      <c r="D14" s="61">
        <v>0.05</v>
      </c>
      <c r="E14" s="93">
        <f t="shared" si="0"/>
        <v>19</v>
      </c>
      <c r="F14" s="94">
        <f>C14*(1+D14)</f>
        <v>21</v>
      </c>
      <c r="G14" s="125"/>
      <c r="H14" s="174"/>
    </row>
  </sheetData>
  <mergeCells count="8">
    <mergeCell ref="I8:P13"/>
    <mergeCell ref="B1:D2"/>
    <mergeCell ref="A3:F3"/>
    <mergeCell ref="A6:F6"/>
    <mergeCell ref="A8:C8"/>
    <mergeCell ref="B4:D4"/>
    <mergeCell ref="A9:B11"/>
    <mergeCell ref="A12:B14"/>
  </mergeCells>
  <pageMargins left="0.511811024" right="0.511811024" top="0.78740157499999996" bottom="0.78740157499999996" header="0.31496062000000002" footer="0.31496062000000002"/>
  <pageSetup paperSize="9" scale="77" orientation="portrait" r:id="rId1"/>
  <headerFooter>
    <oddFooter>&amp;L_x000D_&amp;1#&amp;"Calibri"&amp;10&amp;K000000 Classificação da Informação: Interno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E4D1E-A800-46A3-88D8-85E1A9560236}">
  <sheetPr>
    <tabColor rgb="FFFFC000"/>
    <pageSetUpPr fitToPage="1"/>
  </sheetPr>
  <dimension ref="A1:P13"/>
  <sheetViews>
    <sheetView showGridLines="0" tabSelected="1" zoomScale="80" zoomScaleNormal="80" zoomScaleSheetLayoutView="100" workbookViewId="0">
      <selection activeCell="I8" sqref="I8:P13"/>
    </sheetView>
  </sheetViews>
  <sheetFormatPr defaultRowHeight="15" x14ac:dyDescent="0.25"/>
  <cols>
    <col min="1" max="1" width="23.7109375" customWidth="1"/>
    <col min="2" max="2" width="30.7109375" customWidth="1"/>
    <col min="3" max="4" width="13.28515625" customWidth="1"/>
    <col min="5" max="5" width="20.140625" customWidth="1"/>
    <col min="6" max="6" width="18.5703125" customWidth="1"/>
    <col min="7" max="7" width="9.28515625" customWidth="1"/>
  </cols>
  <sheetData>
    <row r="1" spans="1:16" ht="30" customHeight="1" thickBot="1" x14ac:dyDescent="0.3">
      <c r="A1" s="2"/>
      <c r="B1" s="507" t="s">
        <v>78</v>
      </c>
      <c r="C1" s="508"/>
      <c r="D1" s="509"/>
      <c r="E1" s="3" t="s">
        <v>82</v>
      </c>
      <c r="F1" s="4" t="s">
        <v>175</v>
      </c>
    </row>
    <row r="2" spans="1:16" ht="30" customHeight="1" thickBot="1" x14ac:dyDescent="0.3">
      <c r="A2" s="5"/>
      <c r="B2" s="510"/>
      <c r="C2" s="511"/>
      <c r="D2" s="512"/>
      <c r="E2" s="6" t="s">
        <v>79</v>
      </c>
      <c r="F2" s="7" t="s">
        <v>80</v>
      </c>
    </row>
    <row r="3" spans="1:16" ht="15.75" thickBot="1" x14ac:dyDescent="0.3">
      <c r="A3" s="513" t="s">
        <v>81</v>
      </c>
      <c r="B3" s="514"/>
      <c r="C3" s="514"/>
      <c r="D3" s="514"/>
      <c r="E3" s="514"/>
      <c r="F3" s="537"/>
    </row>
    <row r="4" spans="1:16" ht="15.75" thickBot="1" x14ac:dyDescent="0.3">
      <c r="A4" s="8"/>
      <c r="B4" s="514"/>
      <c r="C4" s="514"/>
      <c r="D4" s="537"/>
      <c r="E4" s="12" t="s">
        <v>88</v>
      </c>
      <c r="F4" s="12" t="s">
        <v>177</v>
      </c>
    </row>
    <row r="5" spans="1:16" ht="15.75" thickBot="1" x14ac:dyDescent="0.3">
      <c r="A5" s="120"/>
      <c r="B5" s="121"/>
      <c r="C5" s="121"/>
      <c r="D5" s="121"/>
      <c r="E5" s="121"/>
      <c r="F5" s="122"/>
    </row>
    <row r="6" spans="1:16" ht="49.35" customHeight="1" thickBot="1" x14ac:dyDescent="0.3">
      <c r="A6" s="551" t="s">
        <v>112</v>
      </c>
      <c r="B6" s="552"/>
      <c r="C6" s="552"/>
      <c r="D6" s="552"/>
      <c r="E6" s="552"/>
      <c r="F6" s="553"/>
    </row>
    <row r="7" spans="1:16" ht="15" customHeight="1" thickBot="1" x14ac:dyDescent="0.3">
      <c r="A7" s="5"/>
      <c r="F7" s="123"/>
    </row>
    <row r="8" spans="1:16" s="14" customFormat="1" ht="50.1" customHeight="1" thickBot="1" x14ac:dyDescent="0.3">
      <c r="A8" s="669" t="s">
        <v>46</v>
      </c>
      <c r="B8" s="670"/>
      <c r="C8" s="672"/>
      <c r="D8" s="171" t="s">
        <v>4</v>
      </c>
      <c r="E8" s="171" t="s">
        <v>2</v>
      </c>
      <c r="F8" s="171" t="s">
        <v>3</v>
      </c>
      <c r="I8" s="661"/>
      <c r="J8" s="662"/>
      <c r="K8" s="662"/>
      <c r="L8" s="662"/>
      <c r="M8" s="662"/>
      <c r="N8" s="662"/>
      <c r="O8" s="662"/>
      <c r="P8" s="662"/>
    </row>
    <row r="9" spans="1:16" ht="30" customHeight="1" x14ac:dyDescent="0.25">
      <c r="A9" s="517" t="s">
        <v>34</v>
      </c>
      <c r="B9" s="518"/>
      <c r="C9" s="68">
        <v>30</v>
      </c>
      <c r="D9" s="69">
        <v>5</v>
      </c>
      <c r="E9" s="70">
        <f>C9-D9</f>
        <v>25</v>
      </c>
      <c r="F9" s="71">
        <f>C9+5</f>
        <v>35</v>
      </c>
      <c r="I9" s="662"/>
      <c r="J9" s="662"/>
      <c r="K9" s="662"/>
      <c r="L9" s="662"/>
      <c r="M9" s="662"/>
      <c r="N9" s="662"/>
      <c r="O9" s="662"/>
      <c r="P9" s="662"/>
    </row>
    <row r="10" spans="1:16" ht="30" customHeight="1" x14ac:dyDescent="0.25">
      <c r="A10" s="519"/>
      <c r="B10" s="520"/>
      <c r="C10" s="58">
        <v>100</v>
      </c>
      <c r="D10" s="72">
        <v>5</v>
      </c>
      <c r="E10" s="73">
        <f t="shared" ref="E10:E11" si="0">C10-D10</f>
        <v>95</v>
      </c>
      <c r="F10" s="74">
        <f t="shared" ref="F10:F11" si="1">C10+5</f>
        <v>105</v>
      </c>
      <c r="I10" s="662"/>
      <c r="J10" s="662"/>
      <c r="K10" s="662"/>
      <c r="L10" s="662"/>
      <c r="M10" s="662"/>
      <c r="N10" s="662"/>
      <c r="O10" s="662"/>
      <c r="P10" s="662"/>
    </row>
    <row r="11" spans="1:16" ht="30" customHeight="1" thickBot="1" x14ac:dyDescent="0.3">
      <c r="A11" s="521"/>
      <c r="B11" s="522"/>
      <c r="C11" s="79">
        <v>240</v>
      </c>
      <c r="D11" s="460">
        <v>5</v>
      </c>
      <c r="E11" s="80">
        <f t="shared" si="0"/>
        <v>235</v>
      </c>
      <c r="F11" s="81">
        <f t="shared" si="1"/>
        <v>245</v>
      </c>
      <c r="I11" s="662"/>
      <c r="J11" s="662"/>
      <c r="K11" s="662"/>
      <c r="L11" s="662"/>
      <c r="M11" s="662"/>
      <c r="N11" s="662"/>
      <c r="O11" s="662"/>
      <c r="P11" s="662"/>
    </row>
    <row r="12" spans="1:16" x14ac:dyDescent="0.25">
      <c r="I12" s="662"/>
      <c r="J12" s="662"/>
      <c r="K12" s="662"/>
      <c r="L12" s="662"/>
      <c r="M12" s="662"/>
      <c r="N12" s="662"/>
      <c r="O12" s="662"/>
      <c r="P12" s="662"/>
    </row>
    <row r="13" spans="1:16" ht="15.75" thickBot="1" x14ac:dyDescent="0.3">
      <c r="I13" s="662"/>
      <c r="J13" s="662"/>
      <c r="K13" s="662"/>
      <c r="L13" s="662"/>
      <c r="M13" s="662"/>
      <c r="N13" s="662"/>
      <c r="O13" s="662"/>
      <c r="P13" s="662"/>
    </row>
  </sheetData>
  <mergeCells count="7">
    <mergeCell ref="I8:P13"/>
    <mergeCell ref="A9:B11"/>
    <mergeCell ref="B1:D2"/>
    <mergeCell ref="A3:F3"/>
    <mergeCell ref="B4:D4"/>
    <mergeCell ref="A6:F6"/>
    <mergeCell ref="A8:C8"/>
  </mergeCells>
  <pageMargins left="0.511811024" right="0.511811024" top="0.78740157499999996" bottom="0.78740157499999996" header="0.31496062000000002" footer="0.31496062000000002"/>
  <pageSetup paperSize="9" scale="77" orientation="portrait" r:id="rId1"/>
  <headerFooter>
    <oddFooter>&amp;L_x000D_&amp;1#&amp;"Calibri"&amp;10&amp;K000000 Classificação da Informação: Interno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599C8-95E1-44E3-8C72-F2C4AE99B522}">
  <sheetPr>
    <tabColor rgb="FFFFC000"/>
  </sheetPr>
  <dimension ref="A1:F14"/>
  <sheetViews>
    <sheetView topLeftCell="A2" workbookViewId="0">
      <selection activeCell="B1" sqref="B1:D2"/>
    </sheetView>
  </sheetViews>
  <sheetFormatPr defaultRowHeight="15" x14ac:dyDescent="0.25"/>
  <cols>
    <col min="1" max="1" width="23.7109375" customWidth="1"/>
    <col min="2" max="2" width="30.7109375" customWidth="1"/>
    <col min="3" max="4" width="13.28515625" customWidth="1"/>
    <col min="5" max="5" width="20.140625" customWidth="1"/>
    <col min="6" max="6" width="17.7109375" customWidth="1"/>
  </cols>
  <sheetData>
    <row r="1" spans="1:6" ht="15.75" thickBot="1" x14ac:dyDescent="0.3">
      <c r="A1" s="543"/>
      <c r="B1" s="507" t="s">
        <v>78</v>
      </c>
      <c r="C1" s="508"/>
      <c r="D1" s="509"/>
      <c r="E1" s="3" t="s">
        <v>82</v>
      </c>
      <c r="F1" s="4" t="s">
        <v>175</v>
      </c>
    </row>
    <row r="2" spans="1:6" ht="30" customHeight="1" thickBot="1" x14ac:dyDescent="0.3">
      <c r="A2" s="544"/>
      <c r="B2" s="510"/>
      <c r="C2" s="511"/>
      <c r="D2" s="512"/>
      <c r="E2" s="6" t="s">
        <v>79</v>
      </c>
      <c r="F2" s="7" t="s">
        <v>80</v>
      </c>
    </row>
    <row r="3" spans="1:6" ht="15.75" thickBot="1" x14ac:dyDescent="0.3">
      <c r="A3" s="513" t="s">
        <v>81</v>
      </c>
      <c r="B3" s="514"/>
      <c r="C3" s="514"/>
      <c r="D3" s="514"/>
      <c r="E3" s="514"/>
      <c r="F3" s="537"/>
    </row>
    <row r="4" spans="1:6" ht="15.75" thickBot="1" x14ac:dyDescent="0.3">
      <c r="A4" s="8"/>
      <c r="B4" s="514"/>
      <c r="C4" s="514"/>
      <c r="D4" s="537"/>
      <c r="E4" s="12" t="s">
        <v>88</v>
      </c>
      <c r="F4" s="12" t="s">
        <v>177</v>
      </c>
    </row>
    <row r="5" spans="1:6" ht="15.75" thickBot="1" x14ac:dyDescent="0.3">
      <c r="A5" s="120"/>
      <c r="B5" s="121"/>
      <c r="C5" s="121"/>
      <c r="D5" s="121"/>
      <c r="E5" s="121"/>
      <c r="F5" s="122"/>
    </row>
    <row r="6" spans="1:6" ht="24" thickBot="1" x14ac:dyDescent="0.3">
      <c r="A6" s="551" t="s">
        <v>112</v>
      </c>
      <c r="B6" s="552"/>
      <c r="C6" s="552"/>
      <c r="D6" s="552"/>
      <c r="E6" s="552"/>
      <c r="F6" s="553"/>
    </row>
    <row r="7" spans="1:6" ht="15.75" thickBot="1" x14ac:dyDescent="0.3">
      <c r="A7" s="5"/>
      <c r="F7" s="123"/>
    </row>
    <row r="8" spans="1:6" ht="32.25" thickBot="1" x14ac:dyDescent="0.3">
      <c r="A8" s="679" t="s">
        <v>172</v>
      </c>
      <c r="B8" s="680"/>
      <c r="C8" s="671"/>
      <c r="D8" s="447" t="s">
        <v>4</v>
      </c>
      <c r="E8" s="447" t="s">
        <v>2</v>
      </c>
      <c r="F8" s="447" t="s">
        <v>3</v>
      </c>
    </row>
    <row r="9" spans="1:6" x14ac:dyDescent="0.25">
      <c r="A9" s="673" t="s">
        <v>174</v>
      </c>
      <c r="B9" s="674"/>
      <c r="C9" s="487">
        <v>3.6</v>
      </c>
      <c r="D9" s="488">
        <v>0.08</v>
      </c>
      <c r="E9" s="489">
        <v>3.31</v>
      </c>
      <c r="F9" s="490">
        <v>3.89</v>
      </c>
    </row>
    <row r="10" spans="1:6" x14ac:dyDescent="0.25">
      <c r="A10" s="675"/>
      <c r="B10" s="676"/>
      <c r="C10" s="491">
        <v>7.2</v>
      </c>
      <c r="D10" s="242">
        <v>0.08</v>
      </c>
      <c r="E10" s="457">
        <v>6.62</v>
      </c>
      <c r="F10" s="492">
        <v>7.78</v>
      </c>
    </row>
    <row r="11" spans="1:6" ht="15.75" thickBot="1" x14ac:dyDescent="0.3">
      <c r="A11" s="677"/>
      <c r="B11" s="678"/>
      <c r="C11" s="493">
        <v>10.8</v>
      </c>
      <c r="D11" s="494">
        <v>0.08</v>
      </c>
      <c r="E11" s="495">
        <v>9.94</v>
      </c>
      <c r="F11" s="496">
        <v>11.66</v>
      </c>
    </row>
    <row r="12" spans="1:6" x14ac:dyDescent="0.25">
      <c r="A12" s="673" t="s">
        <v>173</v>
      </c>
      <c r="B12" s="674"/>
      <c r="C12" s="486">
        <v>5</v>
      </c>
      <c r="D12" s="452">
        <v>0.08</v>
      </c>
      <c r="E12" s="455">
        <v>4.5999999999999996</v>
      </c>
      <c r="F12" s="456">
        <v>5.4</v>
      </c>
    </row>
    <row r="13" spans="1:6" x14ac:dyDescent="0.25">
      <c r="A13" s="675"/>
      <c r="B13" s="676"/>
      <c r="C13" s="484">
        <v>10</v>
      </c>
      <c r="D13" s="242">
        <v>0.08</v>
      </c>
      <c r="E13" s="457">
        <v>9.1999999999999993</v>
      </c>
      <c r="F13" s="458">
        <v>10.8</v>
      </c>
    </row>
    <row r="14" spans="1:6" ht="15.75" thickBot="1" x14ac:dyDescent="0.3">
      <c r="A14" s="677"/>
      <c r="B14" s="678"/>
      <c r="C14" s="485">
        <v>20</v>
      </c>
      <c r="D14" s="451">
        <v>0.08</v>
      </c>
      <c r="E14" s="102">
        <v>18.399999999999999</v>
      </c>
      <c r="F14" s="103">
        <v>21.6</v>
      </c>
    </row>
  </sheetData>
  <mergeCells count="8">
    <mergeCell ref="A12:B14"/>
    <mergeCell ref="B1:D2"/>
    <mergeCell ref="A3:F3"/>
    <mergeCell ref="B4:D4"/>
    <mergeCell ref="A6:F6"/>
    <mergeCell ref="A8:C8"/>
    <mergeCell ref="A9:B11"/>
    <mergeCell ref="A1:A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5BB2-0D0B-4B7C-9441-15BCDBA09327}">
  <sheetPr>
    <tabColor rgb="FFFFC000"/>
    <pageSetUpPr fitToPage="1"/>
  </sheetPr>
  <dimension ref="A1:T27"/>
  <sheetViews>
    <sheetView showGridLines="0" zoomScale="80" zoomScaleNormal="80" zoomScaleSheetLayoutView="85" workbookViewId="0">
      <selection activeCell="B1" sqref="B1:D2"/>
    </sheetView>
  </sheetViews>
  <sheetFormatPr defaultRowHeight="15" x14ac:dyDescent="0.25"/>
  <cols>
    <col min="1" max="1" width="21.7109375" customWidth="1"/>
    <col min="2" max="2" width="30.7109375" customWidth="1"/>
    <col min="3" max="4" width="13.28515625" customWidth="1"/>
    <col min="5" max="6" width="19.28515625" customWidth="1"/>
  </cols>
  <sheetData>
    <row r="1" spans="1:20" ht="30" customHeight="1" thickBot="1" x14ac:dyDescent="0.3">
      <c r="A1" s="2"/>
      <c r="B1" s="507" t="s">
        <v>78</v>
      </c>
      <c r="C1" s="508"/>
      <c r="D1" s="509"/>
      <c r="E1" s="3" t="s">
        <v>82</v>
      </c>
      <c r="F1" s="4" t="s">
        <v>175</v>
      </c>
    </row>
    <row r="2" spans="1:20" ht="30" customHeight="1" thickBot="1" x14ac:dyDescent="0.3">
      <c r="A2" s="5"/>
      <c r="B2" s="510"/>
      <c r="C2" s="511"/>
      <c r="D2" s="512"/>
      <c r="E2" s="6" t="s">
        <v>79</v>
      </c>
      <c r="F2" s="7" t="s">
        <v>80</v>
      </c>
    </row>
    <row r="3" spans="1:20" ht="15.75" thickBot="1" x14ac:dyDescent="0.3">
      <c r="A3" s="513" t="s">
        <v>81</v>
      </c>
      <c r="B3" s="514"/>
      <c r="C3" s="514"/>
      <c r="D3" s="514"/>
      <c r="E3" s="514"/>
      <c r="F3" s="537"/>
    </row>
    <row r="4" spans="1:20" ht="15.75" thickBot="1" x14ac:dyDescent="0.3">
      <c r="A4" s="8"/>
      <c r="B4" s="9"/>
      <c r="C4" s="9"/>
      <c r="D4" s="9"/>
      <c r="E4" s="12" t="s">
        <v>88</v>
      </c>
      <c r="F4" s="12" t="s">
        <v>177</v>
      </c>
    </row>
    <row r="5" spans="1:20" ht="15.75" thickBot="1" x14ac:dyDescent="0.3">
      <c r="A5" s="121"/>
      <c r="B5" s="121"/>
      <c r="C5" s="121"/>
      <c r="D5" s="121"/>
      <c r="E5" s="121"/>
      <c r="F5" s="121"/>
    </row>
    <row r="6" spans="1:20" ht="51.6" customHeight="1" thickBot="1" x14ac:dyDescent="0.3">
      <c r="A6" s="551" t="s">
        <v>98</v>
      </c>
      <c r="B6" s="552"/>
      <c r="C6" s="552"/>
      <c r="D6" s="552"/>
      <c r="E6" s="552"/>
      <c r="F6" s="552"/>
    </row>
    <row r="7" spans="1:20" ht="15.75" thickBot="1" x14ac:dyDescent="0.3"/>
    <row r="8" spans="1:20" s="14" customFormat="1" ht="50.1" customHeight="1" thickBot="1" x14ac:dyDescent="0.3">
      <c r="A8" s="681" t="s">
        <v>66</v>
      </c>
      <c r="B8" s="682"/>
      <c r="C8" s="683"/>
      <c r="D8" s="177" t="s">
        <v>4</v>
      </c>
      <c r="E8" s="177" t="s">
        <v>2</v>
      </c>
      <c r="F8" s="177" t="s">
        <v>3</v>
      </c>
      <c r="H8" s="586"/>
      <c r="I8" s="586"/>
      <c r="J8" s="586"/>
      <c r="K8" s="586"/>
      <c r="L8" s="586"/>
      <c r="M8" s="586"/>
      <c r="N8" s="586"/>
      <c r="O8" s="586"/>
      <c r="P8" s="586"/>
      <c r="Q8" s="586"/>
      <c r="R8" s="586"/>
      <c r="S8" s="586"/>
      <c r="T8" s="586"/>
    </row>
    <row r="9" spans="1:20" ht="30" customHeight="1" x14ac:dyDescent="0.25">
      <c r="A9" s="517" t="s">
        <v>64</v>
      </c>
      <c r="B9" s="518"/>
      <c r="C9" s="172">
        <v>40</v>
      </c>
      <c r="D9" s="59">
        <v>0.15</v>
      </c>
      <c r="E9" s="179">
        <f>C9*(1-D9)</f>
        <v>34</v>
      </c>
      <c r="F9" s="179">
        <f>C9*(1+D9)</f>
        <v>46</v>
      </c>
      <c r="H9" s="586"/>
      <c r="I9" s="586"/>
      <c r="J9" s="586"/>
      <c r="K9" s="586"/>
      <c r="L9" s="586"/>
      <c r="M9" s="586"/>
      <c r="N9" s="586"/>
      <c r="O9" s="586"/>
      <c r="P9" s="586"/>
      <c r="Q9" s="586"/>
      <c r="R9" s="586"/>
      <c r="S9" s="586"/>
      <c r="T9" s="586"/>
    </row>
    <row r="10" spans="1:20" ht="30" customHeight="1" x14ac:dyDescent="0.25">
      <c r="A10" s="519"/>
      <c r="B10" s="520"/>
      <c r="C10" s="173">
        <v>80</v>
      </c>
      <c r="D10" s="61">
        <v>0.15</v>
      </c>
      <c r="E10" s="26">
        <f t="shared" ref="E10:E18" si="0">C10*(1-D10)</f>
        <v>68</v>
      </c>
      <c r="F10" s="27">
        <f t="shared" ref="F10:F13" si="1">C10*(1+D10)</f>
        <v>92</v>
      </c>
      <c r="H10" s="586"/>
      <c r="I10" s="586"/>
      <c r="J10" s="586"/>
      <c r="K10" s="586"/>
      <c r="L10" s="586"/>
      <c r="M10" s="586"/>
      <c r="N10" s="586"/>
      <c r="O10" s="586"/>
      <c r="P10" s="586"/>
      <c r="Q10" s="586"/>
      <c r="R10" s="586"/>
      <c r="S10" s="586"/>
      <c r="T10" s="586"/>
    </row>
    <row r="11" spans="1:20" ht="30" customHeight="1" x14ac:dyDescent="0.25">
      <c r="A11" s="519"/>
      <c r="B11" s="520"/>
      <c r="C11" s="50">
        <v>120</v>
      </c>
      <c r="D11" s="64">
        <v>0.15</v>
      </c>
      <c r="E11" s="175">
        <f t="shared" si="0"/>
        <v>102</v>
      </c>
      <c r="F11" s="176">
        <f t="shared" si="1"/>
        <v>138</v>
      </c>
      <c r="H11" s="586"/>
      <c r="I11" s="586"/>
      <c r="J11" s="586"/>
      <c r="K11" s="586"/>
      <c r="L11" s="586"/>
      <c r="M11" s="586"/>
      <c r="N11" s="586"/>
      <c r="O11" s="586"/>
      <c r="P11" s="586"/>
      <c r="Q11" s="586"/>
      <c r="R11" s="586"/>
      <c r="S11" s="586"/>
      <c r="T11" s="586"/>
    </row>
    <row r="12" spans="1:20" ht="30" customHeight="1" x14ac:dyDescent="0.25">
      <c r="A12" s="519"/>
      <c r="B12" s="520"/>
      <c r="C12" s="173">
        <v>160</v>
      </c>
      <c r="D12" s="61">
        <v>0.15</v>
      </c>
      <c r="E12" s="26">
        <f t="shared" si="0"/>
        <v>136</v>
      </c>
      <c r="F12" s="27">
        <f t="shared" si="1"/>
        <v>184</v>
      </c>
      <c r="H12" s="586"/>
      <c r="I12" s="586"/>
      <c r="J12" s="586"/>
      <c r="K12" s="586"/>
      <c r="L12" s="586"/>
      <c r="M12" s="586"/>
      <c r="N12" s="586"/>
      <c r="O12" s="586"/>
      <c r="P12" s="586"/>
      <c r="Q12" s="586"/>
      <c r="R12" s="586"/>
      <c r="S12" s="586"/>
      <c r="T12" s="586"/>
    </row>
    <row r="13" spans="1:20" ht="30" customHeight="1" thickBot="1" x14ac:dyDescent="0.3">
      <c r="A13" s="521"/>
      <c r="B13" s="522"/>
      <c r="C13" s="181">
        <v>200</v>
      </c>
      <c r="D13" s="182">
        <v>0.15</v>
      </c>
      <c r="E13" s="183">
        <f t="shared" si="0"/>
        <v>170</v>
      </c>
      <c r="F13" s="184">
        <f t="shared" si="1"/>
        <v>229.99999999999997</v>
      </c>
      <c r="H13" s="586"/>
      <c r="I13" s="586"/>
      <c r="J13" s="586"/>
      <c r="K13" s="586"/>
      <c r="L13" s="586"/>
      <c r="M13" s="586"/>
      <c r="N13" s="586"/>
      <c r="O13" s="586"/>
      <c r="P13" s="586"/>
      <c r="Q13" s="586"/>
      <c r="R13" s="586"/>
      <c r="S13" s="586"/>
      <c r="T13" s="586"/>
    </row>
    <row r="14" spans="1:20" ht="30" customHeight="1" x14ac:dyDescent="0.25">
      <c r="A14" s="517" t="s">
        <v>65</v>
      </c>
      <c r="B14" s="518"/>
      <c r="C14" s="185">
        <v>20</v>
      </c>
      <c r="D14" s="59">
        <v>0.15</v>
      </c>
      <c r="E14" s="179">
        <f t="shared" si="0"/>
        <v>17</v>
      </c>
      <c r="F14" s="180">
        <f>C14*(1+D14)</f>
        <v>23</v>
      </c>
    </row>
    <row r="15" spans="1:20" ht="30" customHeight="1" x14ac:dyDescent="0.25">
      <c r="A15" s="519"/>
      <c r="B15" s="520"/>
      <c r="C15" s="173">
        <v>40</v>
      </c>
      <c r="D15" s="61">
        <v>0.15</v>
      </c>
      <c r="E15" s="26">
        <f t="shared" si="0"/>
        <v>34</v>
      </c>
      <c r="F15" s="27">
        <f>C15*(1+D15)</f>
        <v>46</v>
      </c>
    </row>
    <row r="16" spans="1:20" ht="30" customHeight="1" x14ac:dyDescent="0.25">
      <c r="A16" s="519"/>
      <c r="B16" s="520"/>
      <c r="C16" s="50">
        <v>60</v>
      </c>
      <c r="D16" s="64">
        <v>0.15</v>
      </c>
      <c r="E16" s="175">
        <f t="shared" si="0"/>
        <v>51</v>
      </c>
      <c r="F16" s="176">
        <f>C16*(1+D16)</f>
        <v>69</v>
      </c>
    </row>
    <row r="17" spans="1:6" ht="30" customHeight="1" x14ac:dyDescent="0.25">
      <c r="A17" s="519"/>
      <c r="B17" s="520"/>
      <c r="C17" s="173">
        <v>80</v>
      </c>
      <c r="D17" s="61">
        <v>0.15</v>
      </c>
      <c r="E17" s="26">
        <f t="shared" si="0"/>
        <v>68</v>
      </c>
      <c r="F17" s="27">
        <f>C17*(1+D17)</f>
        <v>92</v>
      </c>
    </row>
    <row r="18" spans="1:6" ht="30" customHeight="1" thickBot="1" x14ac:dyDescent="0.3">
      <c r="A18" s="521"/>
      <c r="B18" s="522"/>
      <c r="C18" s="181">
        <v>100</v>
      </c>
      <c r="D18" s="182">
        <v>0.15</v>
      </c>
      <c r="E18" s="183">
        <f t="shared" si="0"/>
        <v>85</v>
      </c>
      <c r="F18" s="184">
        <f>C18*(1+D18)</f>
        <v>114.99999999999999</v>
      </c>
    </row>
    <row r="19" spans="1:6" ht="40.5" customHeight="1" thickBot="1" x14ac:dyDescent="0.3">
      <c r="A19" s="681" t="s">
        <v>84</v>
      </c>
      <c r="B19" s="682"/>
      <c r="C19" s="683"/>
      <c r="D19" s="177" t="s">
        <v>4</v>
      </c>
      <c r="E19" s="177" t="s">
        <v>2</v>
      </c>
      <c r="F19" s="177" t="s">
        <v>3</v>
      </c>
    </row>
    <row r="20" spans="1:6" ht="30" customHeight="1" x14ac:dyDescent="0.25">
      <c r="A20" s="517" t="s">
        <v>64</v>
      </c>
      <c r="B20" s="518"/>
      <c r="C20" s="172">
        <v>40</v>
      </c>
      <c r="D20" s="59">
        <v>0.15</v>
      </c>
      <c r="E20" s="179">
        <f>C20*(1-D20)</f>
        <v>34</v>
      </c>
      <c r="F20" s="180">
        <f t="shared" ref="F20:F27" si="2">C20*(1+D20)</f>
        <v>46</v>
      </c>
    </row>
    <row r="21" spans="1:6" ht="30" customHeight="1" x14ac:dyDescent="0.25">
      <c r="A21" s="519"/>
      <c r="B21" s="520"/>
      <c r="C21" s="173">
        <v>60</v>
      </c>
      <c r="D21" s="61">
        <v>0.15</v>
      </c>
      <c r="E21" s="26">
        <f t="shared" ref="E21:E27" si="3">C21*(1-D21)</f>
        <v>51</v>
      </c>
      <c r="F21" s="27">
        <f t="shared" si="2"/>
        <v>69</v>
      </c>
    </row>
    <row r="22" spans="1:6" ht="30" customHeight="1" thickBot="1" x14ac:dyDescent="0.3">
      <c r="A22" s="519"/>
      <c r="B22" s="520"/>
      <c r="C22" s="50">
        <v>100</v>
      </c>
      <c r="D22" s="64">
        <v>0.15</v>
      </c>
      <c r="E22" s="175">
        <f t="shared" si="3"/>
        <v>85</v>
      </c>
      <c r="F22" s="176">
        <f t="shared" si="2"/>
        <v>114.99999999999999</v>
      </c>
    </row>
    <row r="23" spans="1:6" ht="30" customHeight="1" x14ac:dyDescent="0.25">
      <c r="A23" s="517" t="s">
        <v>65</v>
      </c>
      <c r="B23" s="518"/>
      <c r="C23" s="185">
        <v>20</v>
      </c>
      <c r="D23" s="59">
        <v>0.15</v>
      </c>
      <c r="E23" s="179">
        <f t="shared" si="3"/>
        <v>17</v>
      </c>
      <c r="F23" s="180">
        <f t="shared" si="2"/>
        <v>23</v>
      </c>
    </row>
    <row r="24" spans="1:6" ht="30" customHeight="1" x14ac:dyDescent="0.25">
      <c r="A24" s="519"/>
      <c r="B24" s="520"/>
      <c r="C24" s="173">
        <v>40</v>
      </c>
      <c r="D24" s="61">
        <v>0.15</v>
      </c>
      <c r="E24" s="26">
        <f t="shared" si="3"/>
        <v>34</v>
      </c>
      <c r="F24" s="27">
        <f t="shared" si="2"/>
        <v>46</v>
      </c>
    </row>
    <row r="25" spans="1:6" ht="30" customHeight="1" x14ac:dyDescent="0.25">
      <c r="A25" s="519"/>
      <c r="B25" s="520"/>
      <c r="C25" s="50">
        <v>60</v>
      </c>
      <c r="D25" s="64">
        <v>0.15</v>
      </c>
      <c r="E25" s="175">
        <f t="shared" si="3"/>
        <v>51</v>
      </c>
      <c r="F25" s="176">
        <f t="shared" si="2"/>
        <v>69</v>
      </c>
    </row>
    <row r="26" spans="1:6" ht="30" customHeight="1" x14ac:dyDescent="0.25">
      <c r="A26" s="519"/>
      <c r="B26" s="520"/>
      <c r="C26" s="173">
        <v>80</v>
      </c>
      <c r="D26" s="61">
        <v>0.15</v>
      </c>
      <c r="E26" s="26">
        <f t="shared" si="3"/>
        <v>68</v>
      </c>
      <c r="F26" s="27">
        <f t="shared" si="2"/>
        <v>92</v>
      </c>
    </row>
    <row r="27" spans="1:6" ht="30" customHeight="1" thickBot="1" x14ac:dyDescent="0.3">
      <c r="A27" s="521"/>
      <c r="B27" s="522"/>
      <c r="C27" s="181">
        <v>100</v>
      </c>
      <c r="D27" s="182">
        <v>0.15</v>
      </c>
      <c r="E27" s="183">
        <f t="shared" si="3"/>
        <v>85</v>
      </c>
      <c r="F27" s="184">
        <f t="shared" si="2"/>
        <v>114.99999999999999</v>
      </c>
    </row>
  </sheetData>
  <mergeCells count="10">
    <mergeCell ref="B1:D2"/>
    <mergeCell ref="A3:F3"/>
    <mergeCell ref="A6:F6"/>
    <mergeCell ref="A8:C8"/>
    <mergeCell ref="A9:B13"/>
    <mergeCell ref="A23:B27"/>
    <mergeCell ref="H8:T13"/>
    <mergeCell ref="A14:B18"/>
    <mergeCell ref="A19:C19"/>
    <mergeCell ref="A20:B22"/>
  </mergeCells>
  <pageMargins left="0.511811024" right="0.511811024" top="0.78740157499999996" bottom="0.78740157499999996" header="0.31496062000000002" footer="0.31496062000000002"/>
  <pageSetup paperSize="9" scale="78" fitToHeight="0" orientation="portrait" r:id="rId1"/>
  <headerFooter>
    <oddFooter>&amp;L_x000D_&amp;1#&amp;"Calibri"&amp;10&amp;K000000 Classificação da Informação: Interno</oddFooter>
  </headerFooter>
  <rowBreaks count="1" manualBreakCount="1">
    <brk id="18" max="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5399-EE87-443F-8899-B8890411A396}">
  <sheetPr>
    <tabColor rgb="FFFFC000"/>
    <pageSetUpPr fitToPage="1"/>
  </sheetPr>
  <dimension ref="A1:F47"/>
  <sheetViews>
    <sheetView showGridLines="0" zoomScale="80" zoomScaleNormal="80" zoomScaleSheetLayoutView="100" workbookViewId="0">
      <selection activeCell="K3" sqref="K3"/>
    </sheetView>
  </sheetViews>
  <sheetFormatPr defaultRowHeight="15" x14ac:dyDescent="0.25"/>
  <cols>
    <col min="1" max="1" width="23.5703125" customWidth="1"/>
    <col min="2" max="2" width="30.7109375" customWidth="1"/>
    <col min="3" max="4" width="13.28515625" customWidth="1"/>
    <col min="5" max="5" width="24.140625" bestFit="1" customWidth="1"/>
    <col min="6" max="6" width="19.7109375" customWidth="1"/>
  </cols>
  <sheetData>
    <row r="1" spans="1:6" ht="30" customHeight="1" thickBot="1" x14ac:dyDescent="0.3">
      <c r="A1" s="2"/>
      <c r="B1" s="507" t="s">
        <v>78</v>
      </c>
      <c r="C1" s="508"/>
      <c r="D1" s="509"/>
      <c r="E1" s="3" t="s">
        <v>82</v>
      </c>
      <c r="F1" s="4" t="s">
        <v>175</v>
      </c>
    </row>
    <row r="2" spans="1:6" ht="30" customHeight="1" thickBot="1" x14ac:dyDescent="0.3">
      <c r="A2" s="5"/>
      <c r="B2" s="510"/>
      <c r="C2" s="511"/>
      <c r="D2" s="512"/>
      <c r="E2" s="6" t="s">
        <v>79</v>
      </c>
      <c r="F2" s="7" t="s">
        <v>80</v>
      </c>
    </row>
    <row r="3" spans="1:6" ht="15.75" thickBot="1" x14ac:dyDescent="0.3">
      <c r="A3" s="513" t="s">
        <v>81</v>
      </c>
      <c r="B3" s="514"/>
      <c r="C3" s="514"/>
      <c r="D3" s="514"/>
      <c r="E3" s="514"/>
      <c r="F3" s="537"/>
    </row>
    <row r="4" spans="1:6" ht="15.75" thickBot="1" x14ac:dyDescent="0.3">
      <c r="A4" s="8"/>
      <c r="B4" s="9"/>
      <c r="C4" s="9"/>
      <c r="D4" s="9"/>
      <c r="E4" s="12" t="s">
        <v>88</v>
      </c>
      <c r="F4" s="12" t="s">
        <v>177</v>
      </c>
    </row>
    <row r="5" spans="1:6" ht="15.75" thickBot="1" x14ac:dyDescent="0.3">
      <c r="A5" s="121"/>
      <c r="B5" s="121"/>
      <c r="C5" s="121"/>
      <c r="D5" s="121"/>
      <c r="E5" s="121"/>
      <c r="F5" s="121"/>
    </row>
    <row r="6" spans="1:6" ht="122.25" customHeight="1" thickBot="1" x14ac:dyDescent="0.3">
      <c r="A6" s="684" t="s">
        <v>143</v>
      </c>
      <c r="B6" s="685"/>
      <c r="C6" s="685"/>
      <c r="D6" s="685"/>
      <c r="E6" s="685"/>
      <c r="F6" s="686"/>
    </row>
    <row r="7" spans="1:6" ht="15.75" thickBot="1" x14ac:dyDescent="0.3"/>
    <row r="8" spans="1:6" s="14" customFormat="1" ht="39.950000000000003" customHeight="1" thickBot="1" x14ac:dyDescent="0.3">
      <c r="A8" s="687" t="s">
        <v>43</v>
      </c>
      <c r="B8" s="688"/>
      <c r="C8" s="689"/>
      <c r="D8" s="177" t="s">
        <v>4</v>
      </c>
      <c r="E8" s="177" t="s">
        <v>2</v>
      </c>
      <c r="F8" s="177" t="s">
        <v>3</v>
      </c>
    </row>
    <row r="9" spans="1:6" ht="30" customHeight="1" x14ac:dyDescent="0.25">
      <c r="A9" s="517" t="s">
        <v>40</v>
      </c>
      <c r="B9" s="518"/>
      <c r="C9" s="15">
        <v>25</v>
      </c>
      <c r="D9" s="186">
        <v>1.5</v>
      </c>
      <c r="E9" s="17">
        <f>C9-D9</f>
        <v>23.5</v>
      </c>
      <c r="F9" s="18">
        <f>C9+D9</f>
        <v>26.5</v>
      </c>
    </row>
    <row r="10" spans="1:6" ht="30" customHeight="1" x14ac:dyDescent="0.25">
      <c r="A10" s="519"/>
      <c r="B10" s="520"/>
      <c r="C10" s="20">
        <v>35</v>
      </c>
      <c r="D10" s="187">
        <v>1.5</v>
      </c>
      <c r="E10" s="22">
        <f t="shared" ref="E10:E14" si="0">C10-D10</f>
        <v>33.5</v>
      </c>
      <c r="F10" s="23">
        <f>C10+D10</f>
        <v>36.5</v>
      </c>
    </row>
    <row r="11" spans="1:6" ht="30" customHeight="1" x14ac:dyDescent="0.25">
      <c r="A11" s="519"/>
      <c r="B11" s="520"/>
      <c r="C11" s="24">
        <v>36</v>
      </c>
      <c r="D11" s="188">
        <v>1.5</v>
      </c>
      <c r="E11" s="26">
        <f t="shared" si="0"/>
        <v>34.5</v>
      </c>
      <c r="F11" s="27">
        <f t="shared" ref="F11:F14" si="1">C11+D11</f>
        <v>37.5</v>
      </c>
    </row>
    <row r="12" spans="1:6" ht="30" customHeight="1" x14ac:dyDescent="0.25">
      <c r="A12" s="519"/>
      <c r="B12" s="520"/>
      <c r="C12" s="20">
        <v>37</v>
      </c>
      <c r="D12" s="187">
        <v>1.5</v>
      </c>
      <c r="E12" s="22">
        <f t="shared" si="0"/>
        <v>35.5</v>
      </c>
      <c r="F12" s="23">
        <f t="shared" si="1"/>
        <v>38.5</v>
      </c>
    </row>
    <row r="13" spans="1:6" ht="30" customHeight="1" x14ac:dyDescent="0.25">
      <c r="A13" s="519"/>
      <c r="B13" s="520"/>
      <c r="C13" s="24">
        <v>45</v>
      </c>
      <c r="D13" s="188">
        <v>1.5</v>
      </c>
      <c r="E13" s="26">
        <f t="shared" si="0"/>
        <v>43.5</v>
      </c>
      <c r="F13" s="27">
        <f t="shared" si="1"/>
        <v>46.5</v>
      </c>
    </row>
    <row r="14" spans="1:6" ht="30" customHeight="1" thickBot="1" x14ac:dyDescent="0.3">
      <c r="A14" s="521"/>
      <c r="B14" s="522"/>
      <c r="C14" s="88">
        <v>46</v>
      </c>
      <c r="D14" s="189">
        <v>1.5</v>
      </c>
      <c r="E14" s="66">
        <f t="shared" si="0"/>
        <v>44.5</v>
      </c>
      <c r="F14" s="67">
        <f t="shared" si="1"/>
        <v>47.5</v>
      </c>
    </row>
    <row r="15" spans="1:6" ht="15.75" thickBot="1" x14ac:dyDescent="0.3"/>
    <row r="16" spans="1:6" ht="32.25" customHeight="1" thickBot="1" x14ac:dyDescent="0.3">
      <c r="A16" s="704" t="s">
        <v>114</v>
      </c>
      <c r="B16" s="705"/>
      <c r="C16" s="694"/>
      <c r="D16" s="190" t="s">
        <v>4</v>
      </c>
      <c r="E16" s="190" t="s">
        <v>2</v>
      </c>
      <c r="F16" s="190" t="s">
        <v>3</v>
      </c>
    </row>
    <row r="17" spans="1:6" ht="30" customHeight="1" x14ac:dyDescent="0.25">
      <c r="A17" s="517" t="s">
        <v>40</v>
      </c>
      <c r="B17" s="518"/>
      <c r="C17" s="109">
        <v>25</v>
      </c>
      <c r="D17" s="186">
        <v>1.5</v>
      </c>
      <c r="E17" s="17">
        <f>C17-D17</f>
        <v>23.5</v>
      </c>
      <c r="F17" s="18">
        <f>C17+D17</f>
        <v>26.5</v>
      </c>
    </row>
    <row r="18" spans="1:6" ht="30" customHeight="1" x14ac:dyDescent="0.25">
      <c r="A18" s="519"/>
      <c r="B18" s="520"/>
      <c r="C18" s="20">
        <v>37</v>
      </c>
      <c r="D18" s="187">
        <v>1.5</v>
      </c>
      <c r="E18" s="22">
        <f t="shared" ref="E18:E19" si="2">C18-D18</f>
        <v>35.5</v>
      </c>
      <c r="F18" s="23">
        <f t="shared" ref="F18:F19" si="3">C18+D18</f>
        <v>38.5</v>
      </c>
    </row>
    <row r="19" spans="1:6" ht="30" customHeight="1" thickBot="1" x14ac:dyDescent="0.3">
      <c r="A19" s="521"/>
      <c r="B19" s="522"/>
      <c r="C19" s="79">
        <v>56</v>
      </c>
      <c r="D19" s="191">
        <v>1.5</v>
      </c>
      <c r="E19" s="31">
        <f t="shared" si="2"/>
        <v>54.5</v>
      </c>
      <c r="F19" s="32">
        <f t="shared" si="3"/>
        <v>57.5</v>
      </c>
    </row>
    <row r="20" spans="1:6" ht="15.75" thickBot="1" x14ac:dyDescent="0.3"/>
    <row r="21" spans="1:6" ht="32.25" customHeight="1" thickBot="1" x14ac:dyDescent="0.3">
      <c r="A21" s="692" t="s">
        <v>113</v>
      </c>
      <c r="B21" s="693"/>
      <c r="C21" s="694"/>
      <c r="D21" s="190" t="s">
        <v>4</v>
      </c>
      <c r="E21" s="190" t="s">
        <v>2</v>
      </c>
      <c r="F21" s="190" t="s">
        <v>3</v>
      </c>
    </row>
    <row r="22" spans="1:6" ht="52.5" customHeight="1" thickBot="1" x14ac:dyDescent="0.3">
      <c r="A22" s="690" t="s">
        <v>40</v>
      </c>
      <c r="B22" s="691"/>
      <c r="C22" s="104">
        <v>58</v>
      </c>
      <c r="D22" s="320">
        <v>1.5</v>
      </c>
      <c r="E22" s="321">
        <f>C22-D22</f>
        <v>56.5</v>
      </c>
      <c r="F22" s="322">
        <f>C22+D22</f>
        <v>59.5</v>
      </c>
    </row>
    <row r="23" spans="1:6" ht="15.75" thickBot="1" x14ac:dyDescent="0.3"/>
    <row r="24" spans="1:6" ht="32.25" thickBot="1" x14ac:dyDescent="0.3">
      <c r="A24" s="706" t="s">
        <v>44</v>
      </c>
      <c r="B24" s="707"/>
      <c r="C24" s="708"/>
      <c r="D24" s="192" t="s">
        <v>4</v>
      </c>
      <c r="E24" s="192" t="s">
        <v>2</v>
      </c>
      <c r="F24" s="192" t="s">
        <v>3</v>
      </c>
    </row>
    <row r="25" spans="1:6" ht="30" customHeight="1" x14ac:dyDescent="0.25">
      <c r="A25" s="517" t="s">
        <v>40</v>
      </c>
      <c r="B25" s="518"/>
      <c r="C25" s="15">
        <v>34</v>
      </c>
      <c r="D25" s="186">
        <v>0.5</v>
      </c>
      <c r="E25" s="17">
        <f>C25-D25</f>
        <v>33.5</v>
      </c>
      <c r="F25" s="18">
        <f>C25+D25</f>
        <v>34.5</v>
      </c>
    </row>
    <row r="26" spans="1:6" ht="30" customHeight="1" x14ac:dyDescent="0.25">
      <c r="A26" s="519"/>
      <c r="B26" s="520"/>
      <c r="C26" s="20">
        <v>36</v>
      </c>
      <c r="D26" s="187">
        <v>0.5</v>
      </c>
      <c r="E26" s="22">
        <f t="shared" ref="E26:E27" si="4">C26-D26</f>
        <v>35.5</v>
      </c>
      <c r="F26" s="23">
        <f t="shared" ref="F26:F27" si="5">C26+D26</f>
        <v>36.5</v>
      </c>
    </row>
    <row r="27" spans="1:6" ht="30" customHeight="1" thickBot="1" x14ac:dyDescent="0.3">
      <c r="A27" s="521"/>
      <c r="B27" s="522"/>
      <c r="C27" s="79">
        <v>38</v>
      </c>
      <c r="D27" s="191">
        <v>0.5</v>
      </c>
      <c r="E27" s="31">
        <f t="shared" si="4"/>
        <v>37.5</v>
      </c>
      <c r="F27" s="32">
        <f t="shared" si="5"/>
        <v>38.5</v>
      </c>
    </row>
    <row r="28" spans="1:6" ht="15.75" thickBot="1" x14ac:dyDescent="0.3"/>
    <row r="29" spans="1:6" ht="32.25" thickBot="1" x14ac:dyDescent="0.3">
      <c r="A29" s="709" t="s">
        <v>116</v>
      </c>
      <c r="B29" s="710"/>
      <c r="C29" s="711"/>
      <c r="D29" s="193" t="s">
        <v>4</v>
      </c>
      <c r="E29" s="193" t="s">
        <v>2</v>
      </c>
      <c r="F29" s="193" t="s">
        <v>3</v>
      </c>
    </row>
    <row r="30" spans="1:6" ht="30" customHeight="1" x14ac:dyDescent="0.25">
      <c r="A30" s="517" t="s">
        <v>40</v>
      </c>
      <c r="B30" s="548"/>
      <c r="C30" s="82">
        <v>32</v>
      </c>
      <c r="D30" s="323">
        <v>1.5</v>
      </c>
      <c r="E30" s="324">
        <f>C30-D30</f>
        <v>30.5</v>
      </c>
      <c r="F30" s="325">
        <f>C30+D30</f>
        <v>33.5</v>
      </c>
    </row>
    <row r="31" spans="1:6" ht="30" customHeight="1" x14ac:dyDescent="0.25">
      <c r="A31" s="519"/>
      <c r="B31" s="549"/>
      <c r="C31" s="270">
        <v>38</v>
      </c>
      <c r="D31" s="326">
        <v>1.5</v>
      </c>
      <c r="E31" s="277">
        <f t="shared" ref="E31:E33" si="6">C31-D31</f>
        <v>36.5</v>
      </c>
      <c r="F31" s="278">
        <f t="shared" ref="F31:F33" si="7">C31+D31</f>
        <v>39.5</v>
      </c>
    </row>
    <row r="32" spans="1:6" ht="30" customHeight="1" x14ac:dyDescent="0.25">
      <c r="A32" s="519"/>
      <c r="B32" s="549"/>
      <c r="C32" s="20">
        <v>43</v>
      </c>
      <c r="D32" s="187">
        <v>1.5</v>
      </c>
      <c r="E32" s="22">
        <f t="shared" si="6"/>
        <v>41.5</v>
      </c>
      <c r="F32" s="23">
        <f t="shared" si="7"/>
        <v>44.5</v>
      </c>
    </row>
    <row r="33" spans="1:6" ht="30" customHeight="1" thickBot="1" x14ac:dyDescent="0.3">
      <c r="A33" s="521"/>
      <c r="B33" s="550"/>
      <c r="C33" s="255">
        <v>45</v>
      </c>
      <c r="D33" s="327">
        <v>1.5</v>
      </c>
      <c r="E33" s="304">
        <f t="shared" si="6"/>
        <v>43.5</v>
      </c>
      <c r="F33" s="305">
        <f t="shared" si="7"/>
        <v>46.5</v>
      </c>
    </row>
    <row r="34" spans="1:6" ht="15.75" thickBot="1" x14ac:dyDescent="0.3"/>
    <row r="35" spans="1:6" ht="32.25" thickBot="1" x14ac:dyDescent="0.3">
      <c r="A35" s="701" t="s">
        <v>115</v>
      </c>
      <c r="B35" s="702"/>
      <c r="C35" s="703"/>
      <c r="D35" s="419" t="s">
        <v>4</v>
      </c>
      <c r="E35" s="419" t="s">
        <v>2</v>
      </c>
      <c r="F35" s="419" t="s">
        <v>3</v>
      </c>
    </row>
    <row r="36" spans="1:6" ht="30" customHeight="1" x14ac:dyDescent="0.25">
      <c r="A36" s="517" t="s">
        <v>40</v>
      </c>
      <c r="B36" s="548"/>
      <c r="C36" s="328">
        <v>34</v>
      </c>
      <c r="D36" s="226">
        <v>1.5</v>
      </c>
      <c r="E36" s="329">
        <f>C36-D36</f>
        <v>32.5</v>
      </c>
      <c r="F36" s="330">
        <f>C36+D36</f>
        <v>35.5</v>
      </c>
    </row>
    <row r="37" spans="1:6" ht="30" customHeight="1" x14ac:dyDescent="0.25">
      <c r="A37" s="519"/>
      <c r="B37" s="549"/>
      <c r="C37" s="270">
        <v>40</v>
      </c>
      <c r="D37" s="326">
        <v>1.5</v>
      </c>
      <c r="E37" s="277">
        <f t="shared" ref="E37:E39" si="8">C37-D37</f>
        <v>38.5</v>
      </c>
      <c r="F37" s="278">
        <f t="shared" ref="F37:F39" si="9">C37+D37</f>
        <v>41.5</v>
      </c>
    </row>
    <row r="38" spans="1:6" ht="30" customHeight="1" x14ac:dyDescent="0.25">
      <c r="A38" s="519"/>
      <c r="B38" s="549"/>
      <c r="C38" s="279">
        <v>45</v>
      </c>
      <c r="D38" s="331">
        <v>1.5</v>
      </c>
      <c r="E38" s="280">
        <f t="shared" si="8"/>
        <v>43.5</v>
      </c>
      <c r="F38" s="281">
        <f t="shared" si="9"/>
        <v>46.5</v>
      </c>
    </row>
    <row r="39" spans="1:6" ht="30" customHeight="1" thickBot="1" x14ac:dyDescent="0.3">
      <c r="A39" s="521"/>
      <c r="B39" s="550"/>
      <c r="C39" s="255">
        <v>47</v>
      </c>
      <c r="D39" s="327">
        <v>1.5</v>
      </c>
      <c r="E39" s="304">
        <f t="shared" si="8"/>
        <v>45.5</v>
      </c>
      <c r="F39" s="305">
        <f t="shared" si="9"/>
        <v>48.5</v>
      </c>
    </row>
    <row r="40" spans="1:6" ht="15.75" thickBot="1" x14ac:dyDescent="0.3"/>
    <row r="41" spans="1:6" ht="30" customHeight="1" thickBot="1" x14ac:dyDescent="0.3">
      <c r="A41" s="695" t="s">
        <v>72</v>
      </c>
      <c r="B41" s="696"/>
      <c r="C41" s="697"/>
      <c r="D41" s="194" t="s">
        <v>4</v>
      </c>
      <c r="E41" s="194" t="s">
        <v>2</v>
      </c>
      <c r="F41" s="194" t="s">
        <v>3</v>
      </c>
    </row>
    <row r="42" spans="1:6" ht="30" customHeight="1" x14ac:dyDescent="0.25">
      <c r="A42" s="517" t="s">
        <v>40</v>
      </c>
      <c r="B42" s="518"/>
      <c r="C42" s="333">
        <v>10</v>
      </c>
      <c r="D42" s="226">
        <v>1.5</v>
      </c>
      <c r="E42" s="329">
        <f>C42-D42</f>
        <v>8.5</v>
      </c>
      <c r="F42" s="330">
        <f>C42+D42</f>
        <v>11.5</v>
      </c>
    </row>
    <row r="43" spans="1:6" ht="30" customHeight="1" x14ac:dyDescent="0.25">
      <c r="A43" s="519"/>
      <c r="B43" s="520"/>
      <c r="C43" s="312">
        <v>50</v>
      </c>
      <c r="D43" s="326">
        <v>1.5</v>
      </c>
      <c r="E43" s="277">
        <f t="shared" ref="E43:E44" si="10">C43-D43</f>
        <v>48.5</v>
      </c>
      <c r="F43" s="278">
        <f>C43+D43</f>
        <v>51.5</v>
      </c>
    </row>
    <row r="44" spans="1:6" ht="30" customHeight="1" thickBot="1" x14ac:dyDescent="0.3">
      <c r="A44" s="521"/>
      <c r="B44" s="522"/>
      <c r="C44" s="334">
        <v>95</v>
      </c>
      <c r="D44" s="227">
        <v>1.5</v>
      </c>
      <c r="E44" s="335">
        <f t="shared" si="10"/>
        <v>93.5</v>
      </c>
      <c r="F44" s="336">
        <f>C44+D44</f>
        <v>96.5</v>
      </c>
    </row>
    <row r="45" spans="1:6" ht="15.75" thickBot="1" x14ac:dyDescent="0.3"/>
    <row r="46" spans="1:6" ht="35.25" customHeight="1" thickBot="1" x14ac:dyDescent="0.3">
      <c r="A46" s="698" t="s">
        <v>73</v>
      </c>
      <c r="B46" s="699"/>
      <c r="C46" s="700"/>
      <c r="D46" s="196" t="s">
        <v>4</v>
      </c>
      <c r="E46" s="196" t="s">
        <v>2</v>
      </c>
      <c r="F46" s="196" t="s">
        <v>3</v>
      </c>
    </row>
    <row r="47" spans="1:6" ht="57" customHeight="1" thickBot="1" x14ac:dyDescent="0.3">
      <c r="A47" s="690" t="s">
        <v>40</v>
      </c>
      <c r="B47" s="691"/>
      <c r="C47" s="195">
        <v>30</v>
      </c>
      <c r="D47" s="186">
        <v>1.5</v>
      </c>
      <c r="E47" s="17">
        <f>C47-D47</f>
        <v>28.5</v>
      </c>
      <c r="F47" s="18">
        <f>C47+D47</f>
        <v>31.5</v>
      </c>
    </row>
  </sheetData>
  <mergeCells count="19">
    <mergeCell ref="A24:C24"/>
    <mergeCell ref="A25:B27"/>
    <mergeCell ref="A29:C29"/>
    <mergeCell ref="B1:D2"/>
    <mergeCell ref="A3:F3"/>
    <mergeCell ref="A6:F6"/>
    <mergeCell ref="A8:C8"/>
    <mergeCell ref="A47:B47"/>
    <mergeCell ref="A9:B14"/>
    <mergeCell ref="A21:C21"/>
    <mergeCell ref="A22:B22"/>
    <mergeCell ref="A30:B33"/>
    <mergeCell ref="A41:C41"/>
    <mergeCell ref="A42:B44"/>
    <mergeCell ref="A46:C46"/>
    <mergeCell ref="A35:C35"/>
    <mergeCell ref="A36:B39"/>
    <mergeCell ref="A16:C16"/>
    <mergeCell ref="A17:B19"/>
  </mergeCells>
  <pageMargins left="0.511811024" right="0.511811024" top="0.78740157499999996" bottom="0.78740157499999996" header="0.31496062000000002" footer="0.31496062000000002"/>
  <pageSetup paperSize="9" scale="74" fitToHeight="0" orientation="portrait" r:id="rId1"/>
  <headerFooter>
    <oddFooter>&amp;L_x000D_&amp;1#&amp;"Calibri"&amp;10&amp;K000000 Classificação da Informação: Interno</oddFooter>
  </headerFooter>
  <rowBreaks count="1" manualBreakCount="1">
    <brk id="40" max="5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1C56-71EF-4F7B-905A-E360D156992D}">
  <sheetPr>
    <tabColor rgb="FFFFC000"/>
    <pageSetUpPr fitToPage="1"/>
  </sheetPr>
  <dimension ref="A1:L57"/>
  <sheetViews>
    <sheetView showGridLines="0" zoomScale="80" zoomScaleNormal="80" zoomScaleSheetLayoutView="100" workbookViewId="0">
      <selection activeCell="Q3" sqref="Q3"/>
    </sheetView>
  </sheetViews>
  <sheetFormatPr defaultRowHeight="15" x14ac:dyDescent="0.25"/>
  <cols>
    <col min="1" max="1" width="30.7109375" customWidth="1"/>
    <col min="2" max="3" width="13.28515625" customWidth="1"/>
    <col min="4" max="4" width="15.7109375" customWidth="1"/>
    <col min="5" max="5" width="16.28515625" customWidth="1"/>
    <col min="6" max="7" width="4" customWidth="1"/>
    <col min="8" max="8" width="30.7109375" customWidth="1"/>
    <col min="9" max="10" width="13.28515625" customWidth="1"/>
    <col min="11" max="11" width="18.28515625" customWidth="1"/>
    <col min="12" max="12" width="18.140625" customWidth="1"/>
  </cols>
  <sheetData>
    <row r="1" spans="1:12" ht="30" customHeight="1" thickBot="1" x14ac:dyDescent="0.3">
      <c r="A1" s="2"/>
      <c r="B1" s="507" t="s">
        <v>78</v>
      </c>
      <c r="C1" s="538"/>
      <c r="D1" s="538"/>
      <c r="E1" s="538"/>
      <c r="F1" s="538"/>
      <c r="G1" s="538"/>
      <c r="H1" s="538"/>
      <c r="I1" s="538"/>
      <c r="J1" s="539"/>
      <c r="K1" s="3" t="s">
        <v>82</v>
      </c>
      <c r="L1" s="4" t="s">
        <v>175</v>
      </c>
    </row>
    <row r="2" spans="1:12" ht="30" customHeight="1" thickBot="1" x14ac:dyDescent="0.3">
      <c r="A2" s="5"/>
      <c r="B2" s="618"/>
      <c r="C2" s="619"/>
      <c r="D2" s="619"/>
      <c r="E2" s="619"/>
      <c r="F2" s="619"/>
      <c r="G2" s="619"/>
      <c r="H2" s="619"/>
      <c r="I2" s="619"/>
      <c r="J2" s="620"/>
      <c r="K2" s="6" t="s">
        <v>79</v>
      </c>
      <c r="L2" s="7" t="s">
        <v>80</v>
      </c>
    </row>
    <row r="3" spans="1:12" ht="15.75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37"/>
    </row>
    <row r="4" spans="1:12" ht="15.75" thickBot="1" x14ac:dyDescent="0.3">
      <c r="A4" s="8"/>
      <c r="B4" s="9"/>
      <c r="C4" s="9"/>
      <c r="D4" s="9"/>
      <c r="E4" s="9"/>
      <c r="F4" s="9"/>
      <c r="G4" s="9"/>
      <c r="H4" s="9"/>
      <c r="I4" s="9"/>
      <c r="J4" s="56"/>
      <c r="K4" s="119" t="s">
        <v>88</v>
      </c>
      <c r="L4" s="119" t="s">
        <v>177</v>
      </c>
    </row>
    <row r="5" spans="1:12" ht="15.75" thickBot="1" x14ac:dyDescent="0.3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</row>
    <row r="6" spans="1:12" ht="43.5" customHeight="1" thickBot="1" x14ac:dyDescent="0.3">
      <c r="A6" s="551" t="s">
        <v>91</v>
      </c>
      <c r="B6" s="716"/>
      <c r="C6" s="716"/>
      <c r="D6" s="716"/>
      <c r="E6" s="716"/>
      <c r="F6" s="716"/>
      <c r="G6" s="716"/>
      <c r="H6" s="716"/>
      <c r="I6" s="716"/>
      <c r="J6" s="716"/>
      <c r="K6" s="716"/>
      <c r="L6" s="717"/>
    </row>
    <row r="7" spans="1:12" ht="15" customHeight="1" thickBot="1" x14ac:dyDescent="0.3"/>
    <row r="8" spans="1:12" ht="30" customHeight="1" thickBot="1" x14ac:dyDescent="0.45">
      <c r="A8" s="615" t="s">
        <v>18</v>
      </c>
      <c r="B8" s="616"/>
      <c r="C8" s="616"/>
      <c r="D8" s="616"/>
      <c r="E8" s="616"/>
      <c r="F8" s="616"/>
      <c r="G8" s="616"/>
      <c r="H8" s="616"/>
      <c r="I8" s="616"/>
      <c r="J8" s="616"/>
      <c r="K8" s="616"/>
      <c r="L8" s="617"/>
    </row>
    <row r="9" spans="1:12" ht="39.950000000000003" customHeight="1" thickBot="1" x14ac:dyDescent="0.3">
      <c r="A9" s="554" t="s">
        <v>69</v>
      </c>
      <c r="B9" s="556"/>
      <c r="C9" s="197" t="s">
        <v>4</v>
      </c>
      <c r="D9" s="197" t="s">
        <v>2</v>
      </c>
      <c r="E9" s="197" t="s">
        <v>3</v>
      </c>
      <c r="F9" s="125"/>
      <c r="G9" s="125"/>
      <c r="H9" s="718" t="s">
        <v>67</v>
      </c>
      <c r="I9" s="720"/>
      <c r="J9" s="198" t="s">
        <v>4</v>
      </c>
      <c r="K9" s="198" t="s">
        <v>2</v>
      </c>
      <c r="L9" s="198" t="s">
        <v>3</v>
      </c>
    </row>
    <row r="10" spans="1:12" ht="30" customHeight="1" x14ac:dyDescent="0.25">
      <c r="A10" s="578" t="s">
        <v>74</v>
      </c>
      <c r="B10" s="126">
        <v>20</v>
      </c>
      <c r="C10" s="199">
        <v>3</v>
      </c>
      <c r="D10" s="17">
        <f t="shared" ref="D10:D15" si="0">B10-C10</f>
        <v>17</v>
      </c>
      <c r="E10" s="18">
        <f t="shared" ref="E10:E15" si="1">B10+C10</f>
        <v>23</v>
      </c>
      <c r="F10" s="125"/>
      <c r="G10" s="125"/>
      <c r="H10" s="578" t="s">
        <v>21</v>
      </c>
      <c r="I10" s="126">
        <v>100</v>
      </c>
      <c r="J10" s="306">
        <v>12</v>
      </c>
      <c r="K10" s="17">
        <f>I10-J10</f>
        <v>88</v>
      </c>
      <c r="L10" s="18">
        <f>I10+J10</f>
        <v>112</v>
      </c>
    </row>
    <row r="11" spans="1:12" ht="30" customHeight="1" x14ac:dyDescent="0.25">
      <c r="A11" s="579"/>
      <c r="B11" s="130">
        <v>60</v>
      </c>
      <c r="C11" s="200">
        <v>3</v>
      </c>
      <c r="D11" s="22">
        <f t="shared" si="0"/>
        <v>57</v>
      </c>
      <c r="E11" s="23">
        <f t="shared" si="1"/>
        <v>63</v>
      </c>
      <c r="F11" s="125"/>
      <c r="G11" s="125"/>
      <c r="H11" s="579"/>
      <c r="I11" s="130">
        <v>500</v>
      </c>
      <c r="J11" s="301">
        <v>12</v>
      </c>
      <c r="K11" s="22">
        <f>I11-J11</f>
        <v>488</v>
      </c>
      <c r="L11" s="23">
        <f>I11+J11</f>
        <v>512</v>
      </c>
    </row>
    <row r="12" spans="1:12" ht="30" customHeight="1" thickBot="1" x14ac:dyDescent="0.3">
      <c r="A12" s="579"/>
      <c r="B12" s="283">
        <v>100</v>
      </c>
      <c r="C12" s="284">
        <v>3</v>
      </c>
      <c r="D12" s="277">
        <f t="shared" si="0"/>
        <v>97</v>
      </c>
      <c r="E12" s="278">
        <f t="shared" si="1"/>
        <v>103</v>
      </c>
      <c r="F12" s="125"/>
      <c r="G12" s="125"/>
      <c r="H12" s="580"/>
      <c r="I12" s="302">
        <v>1000</v>
      </c>
      <c r="J12" s="303">
        <v>12</v>
      </c>
      <c r="K12" s="304">
        <f>I12-J12</f>
        <v>988</v>
      </c>
      <c r="L12" s="305">
        <f>I12+J12</f>
        <v>1012</v>
      </c>
    </row>
    <row r="13" spans="1:12" ht="30" customHeight="1" x14ac:dyDescent="0.25">
      <c r="A13" s="579"/>
      <c r="B13" s="130">
        <v>160</v>
      </c>
      <c r="C13" s="200">
        <v>3</v>
      </c>
      <c r="D13" s="22">
        <f t="shared" si="0"/>
        <v>157</v>
      </c>
      <c r="E13" s="23">
        <f t="shared" si="1"/>
        <v>163</v>
      </c>
      <c r="F13" s="125"/>
      <c r="G13" s="125"/>
      <c r="H13" s="201"/>
      <c r="I13" s="201"/>
      <c r="J13" s="201"/>
      <c r="K13" s="201"/>
      <c r="L13" s="19"/>
    </row>
    <row r="14" spans="1:12" ht="30" customHeight="1" x14ac:dyDescent="0.25">
      <c r="A14" s="579"/>
      <c r="B14" s="283">
        <v>180</v>
      </c>
      <c r="C14" s="284">
        <v>3</v>
      </c>
      <c r="D14" s="277">
        <f t="shared" si="0"/>
        <v>177</v>
      </c>
      <c r="E14" s="278">
        <f t="shared" si="1"/>
        <v>183</v>
      </c>
      <c r="F14" s="125"/>
      <c r="G14" s="125"/>
      <c r="H14" s="201"/>
      <c r="I14" s="201"/>
      <c r="J14" s="201"/>
      <c r="K14" s="201"/>
      <c r="L14" s="19"/>
    </row>
    <row r="15" spans="1:12" ht="30" customHeight="1" thickBot="1" x14ac:dyDescent="0.3">
      <c r="A15" s="580"/>
      <c r="B15" s="148">
        <v>200</v>
      </c>
      <c r="C15" s="282">
        <v>3</v>
      </c>
      <c r="D15" s="66">
        <f t="shared" si="0"/>
        <v>197</v>
      </c>
      <c r="E15" s="67">
        <f t="shared" si="1"/>
        <v>203</v>
      </c>
      <c r="F15" s="125"/>
      <c r="G15" s="125"/>
      <c r="H15" s="201"/>
      <c r="I15" s="201"/>
      <c r="J15" s="201"/>
      <c r="K15" s="201"/>
      <c r="L15" s="19"/>
    </row>
    <row r="16" spans="1:12" ht="39.950000000000003" customHeight="1" thickBot="1" x14ac:dyDescent="0.3">
      <c r="A16" s="152"/>
      <c r="B16" s="125"/>
      <c r="C16" s="125"/>
      <c r="D16" s="125"/>
      <c r="E16" s="125"/>
      <c r="F16" s="125"/>
      <c r="G16" s="125"/>
      <c r="L16" s="123"/>
    </row>
    <row r="17" spans="1:12" ht="68.25" customHeight="1" thickBot="1" x14ac:dyDescent="0.3">
      <c r="A17" s="714" t="s">
        <v>68</v>
      </c>
      <c r="B17" s="715"/>
      <c r="C17" s="202" t="s">
        <v>4</v>
      </c>
      <c r="D17" s="202" t="s">
        <v>2</v>
      </c>
      <c r="E17" s="202" t="s">
        <v>3</v>
      </c>
      <c r="F17" s="125"/>
      <c r="G17" s="125"/>
      <c r="H17" s="718" t="s">
        <v>23</v>
      </c>
      <c r="I17" s="719"/>
      <c r="J17" s="198" t="s">
        <v>4</v>
      </c>
      <c r="K17" s="198" t="s">
        <v>2</v>
      </c>
      <c r="L17" s="198" t="s">
        <v>3</v>
      </c>
    </row>
    <row r="18" spans="1:12" ht="30" customHeight="1" thickBot="1" x14ac:dyDescent="0.3">
      <c r="A18" s="578" t="s">
        <v>21</v>
      </c>
      <c r="B18" s="126">
        <v>1</v>
      </c>
      <c r="C18" s="199">
        <v>0.2</v>
      </c>
      <c r="D18" s="111">
        <f>B18-C18</f>
        <v>0.8</v>
      </c>
      <c r="E18" s="112">
        <f>B18+C18</f>
        <v>1.2</v>
      </c>
      <c r="F18" s="125"/>
      <c r="G18" s="125"/>
      <c r="H18" s="160" t="s">
        <v>24</v>
      </c>
      <c r="I18" s="161">
        <v>1000</v>
      </c>
      <c r="J18" s="203">
        <v>8</v>
      </c>
      <c r="K18" s="204">
        <f>I18-J18</f>
        <v>992</v>
      </c>
      <c r="L18" s="205">
        <f>I18+J18</f>
        <v>1008</v>
      </c>
    </row>
    <row r="19" spans="1:12" ht="30" customHeight="1" x14ac:dyDescent="0.25">
      <c r="A19" s="579"/>
      <c r="B19" s="130">
        <v>5</v>
      </c>
      <c r="C19" s="206">
        <v>0.2</v>
      </c>
      <c r="D19" s="113">
        <f>B19-C19</f>
        <v>4.8</v>
      </c>
      <c r="E19" s="114">
        <f>B19+C19</f>
        <v>5.2</v>
      </c>
      <c r="L19" s="123"/>
    </row>
    <row r="20" spans="1:12" ht="30" customHeight="1" thickBot="1" x14ac:dyDescent="0.3">
      <c r="A20" s="580"/>
      <c r="B20" s="154">
        <v>10</v>
      </c>
      <c r="C20" s="207">
        <v>0.2</v>
      </c>
      <c r="D20" s="102">
        <f>B20-C20</f>
        <v>9.8000000000000007</v>
      </c>
      <c r="E20" s="103">
        <f>B20+C20</f>
        <v>10.199999999999999</v>
      </c>
      <c r="L20" s="123"/>
    </row>
    <row r="21" spans="1:12" ht="15.75" thickBot="1" x14ac:dyDescent="0.3">
      <c r="A21" s="5"/>
      <c r="L21" s="123"/>
    </row>
    <row r="22" spans="1:12" ht="39.950000000000003" customHeight="1" thickBot="1" x14ac:dyDescent="0.3">
      <c r="A22" s="557" t="s">
        <v>25</v>
      </c>
      <c r="B22" s="634"/>
      <c r="C22" s="169" t="s">
        <v>4</v>
      </c>
      <c r="D22" s="169" t="s">
        <v>2</v>
      </c>
      <c r="E22" s="169" t="s">
        <v>3</v>
      </c>
      <c r="H22" s="734" t="s">
        <v>26</v>
      </c>
      <c r="I22" s="735"/>
      <c r="J22" s="208" t="s">
        <v>4</v>
      </c>
      <c r="K22" s="208" t="s">
        <v>2</v>
      </c>
      <c r="L22" s="208" t="s">
        <v>3</v>
      </c>
    </row>
    <row r="23" spans="1:12" ht="30" customHeight="1" x14ac:dyDescent="0.25">
      <c r="A23" s="578" t="s">
        <v>21</v>
      </c>
      <c r="B23" s="343">
        <v>2</v>
      </c>
      <c r="C23" s="344">
        <v>0.2</v>
      </c>
      <c r="D23" s="345">
        <f>B23-C23</f>
        <v>1.8</v>
      </c>
      <c r="E23" s="346">
        <f>B23+C23</f>
        <v>2.2000000000000002</v>
      </c>
      <c r="H23" s="578" t="s">
        <v>21</v>
      </c>
      <c r="I23" s="126">
        <v>10</v>
      </c>
      <c r="J23" s="199">
        <v>1.5</v>
      </c>
      <c r="K23" s="111">
        <f>I23-J23</f>
        <v>8.5</v>
      </c>
      <c r="L23" s="112">
        <f>I23+J23</f>
        <v>11.5</v>
      </c>
    </row>
    <row r="24" spans="1:12" ht="30" customHeight="1" x14ac:dyDescent="0.25">
      <c r="A24" s="579"/>
      <c r="B24" s="283">
        <v>5</v>
      </c>
      <c r="C24" s="284">
        <v>0.2</v>
      </c>
      <c r="D24" s="339">
        <f>B24-C24</f>
        <v>4.8</v>
      </c>
      <c r="E24" s="340">
        <f>B24+C24</f>
        <v>5.2</v>
      </c>
      <c r="H24" s="579"/>
      <c r="I24" s="130">
        <v>50</v>
      </c>
      <c r="J24" s="206">
        <v>1.5</v>
      </c>
      <c r="K24" s="113">
        <f>I24-J24</f>
        <v>48.5</v>
      </c>
      <c r="L24" s="114">
        <f>I24+J24</f>
        <v>51.5</v>
      </c>
    </row>
    <row r="25" spans="1:12" ht="30" customHeight="1" thickBot="1" x14ac:dyDescent="0.3">
      <c r="A25" s="580"/>
      <c r="B25" s="347">
        <v>10</v>
      </c>
      <c r="C25" s="282">
        <v>0.2</v>
      </c>
      <c r="D25" s="348">
        <f>B25-C25</f>
        <v>9.8000000000000007</v>
      </c>
      <c r="E25" s="349">
        <f>B25+C25</f>
        <v>10.199999999999999</v>
      </c>
      <c r="H25" s="580"/>
      <c r="I25" s="154">
        <v>100</v>
      </c>
      <c r="J25" s="207">
        <v>1.5</v>
      </c>
      <c r="K25" s="102">
        <f>I25-J25</f>
        <v>98.5</v>
      </c>
      <c r="L25" s="103">
        <f>I25+J25</f>
        <v>101.5</v>
      </c>
    </row>
    <row r="26" spans="1:12" x14ac:dyDescent="0.25">
      <c r="A26" s="5"/>
      <c r="L26" s="123"/>
    </row>
    <row r="27" spans="1:12" ht="15.75" thickBot="1" x14ac:dyDescent="0.3">
      <c r="A27" s="5"/>
      <c r="L27" s="123"/>
    </row>
    <row r="28" spans="1:12" ht="39.950000000000003" customHeight="1" thickBot="1" x14ac:dyDescent="0.3">
      <c r="A28" s="712" t="s">
        <v>27</v>
      </c>
      <c r="B28" s="713"/>
      <c r="C28" s="209" t="s">
        <v>4</v>
      </c>
      <c r="D28" s="209" t="s">
        <v>2</v>
      </c>
      <c r="E28" s="209" t="s">
        <v>3</v>
      </c>
      <c r="H28" s="718" t="s">
        <v>28</v>
      </c>
      <c r="I28" s="720"/>
      <c r="J28" s="198" t="s">
        <v>4</v>
      </c>
      <c r="K28" s="198" t="s">
        <v>2</v>
      </c>
      <c r="L28" s="198" t="s">
        <v>3</v>
      </c>
    </row>
    <row r="29" spans="1:12" ht="30" customHeight="1" x14ac:dyDescent="0.25">
      <c r="A29" s="578" t="s">
        <v>21</v>
      </c>
      <c r="B29" s="126">
        <v>20</v>
      </c>
      <c r="C29" s="199">
        <v>3</v>
      </c>
      <c r="D29" s="111">
        <f>B29-C29</f>
        <v>17</v>
      </c>
      <c r="E29" s="112">
        <f>B29+C29</f>
        <v>23</v>
      </c>
      <c r="H29" s="578" t="s">
        <v>21</v>
      </c>
      <c r="I29" s="343">
        <v>100</v>
      </c>
      <c r="J29" s="344">
        <v>12</v>
      </c>
      <c r="K29" s="345">
        <f>I29-J29</f>
        <v>88</v>
      </c>
      <c r="L29" s="346">
        <f>I29+J29</f>
        <v>112</v>
      </c>
    </row>
    <row r="30" spans="1:12" ht="30" customHeight="1" x14ac:dyDescent="0.25">
      <c r="A30" s="579"/>
      <c r="B30" s="130">
        <v>100</v>
      </c>
      <c r="C30" s="206">
        <v>3</v>
      </c>
      <c r="D30" s="113">
        <f>B30-C30</f>
        <v>97</v>
      </c>
      <c r="E30" s="114">
        <f>B30+C30</f>
        <v>103</v>
      </c>
      <c r="H30" s="579"/>
      <c r="I30" s="283">
        <v>500</v>
      </c>
      <c r="J30" s="284">
        <v>12</v>
      </c>
      <c r="K30" s="339">
        <f>I30-J30</f>
        <v>488</v>
      </c>
      <c r="L30" s="340">
        <f>I30+J30</f>
        <v>512</v>
      </c>
    </row>
    <row r="31" spans="1:12" ht="30" customHeight="1" thickBot="1" x14ac:dyDescent="0.3">
      <c r="A31" s="580"/>
      <c r="B31" s="154">
        <v>200</v>
      </c>
      <c r="C31" s="207">
        <v>3</v>
      </c>
      <c r="D31" s="102">
        <f>B31-C31</f>
        <v>197</v>
      </c>
      <c r="E31" s="103">
        <f>B31+C31</f>
        <v>203</v>
      </c>
      <c r="H31" s="580"/>
      <c r="I31" s="347">
        <v>1000</v>
      </c>
      <c r="J31" s="282">
        <v>12</v>
      </c>
      <c r="K31" s="348">
        <f>I31-J31</f>
        <v>988</v>
      </c>
      <c r="L31" s="349">
        <f>I31+J31</f>
        <v>1012</v>
      </c>
    </row>
    <row r="32" spans="1:12" ht="15.75" thickBot="1" x14ac:dyDescent="0.3">
      <c r="A32" s="5"/>
      <c r="L32" s="123"/>
    </row>
    <row r="33" spans="1:12" ht="61.5" customHeight="1" thickBot="1" x14ac:dyDescent="0.3">
      <c r="A33" s="669" t="s">
        <v>29</v>
      </c>
      <c r="B33" s="672"/>
      <c r="C33" s="210" t="s">
        <v>4</v>
      </c>
      <c r="D33" s="210" t="s">
        <v>2</v>
      </c>
      <c r="E33" s="210" t="s">
        <v>3</v>
      </c>
      <c r="L33" s="123"/>
    </row>
    <row r="34" spans="1:12" ht="30" customHeight="1" x14ac:dyDescent="0.25">
      <c r="A34" s="578" t="s">
        <v>21</v>
      </c>
      <c r="B34" s="343">
        <v>2000</v>
      </c>
      <c r="C34" s="344">
        <v>12</v>
      </c>
      <c r="D34" s="345">
        <f>B34-C34</f>
        <v>1988</v>
      </c>
      <c r="E34" s="346">
        <f>B34+C34</f>
        <v>2012</v>
      </c>
      <c r="L34" s="123"/>
    </row>
    <row r="35" spans="1:12" ht="30" customHeight="1" x14ac:dyDescent="0.25">
      <c r="A35" s="579"/>
      <c r="B35" s="283">
        <v>4000</v>
      </c>
      <c r="C35" s="284">
        <v>12</v>
      </c>
      <c r="D35" s="339">
        <f>B35-C35</f>
        <v>3988</v>
      </c>
      <c r="E35" s="340">
        <f>B35+C35</f>
        <v>4012</v>
      </c>
      <c r="L35" s="123"/>
    </row>
    <row r="36" spans="1:12" ht="30" customHeight="1" thickBot="1" x14ac:dyDescent="0.3">
      <c r="A36" s="580"/>
      <c r="B36" s="347">
        <v>5000</v>
      </c>
      <c r="C36" s="282">
        <v>12</v>
      </c>
      <c r="D36" s="348">
        <f>B36-C36</f>
        <v>4988</v>
      </c>
      <c r="E36" s="349">
        <f>B36+C36</f>
        <v>5012</v>
      </c>
      <c r="L36" s="123"/>
    </row>
    <row r="37" spans="1:12" ht="15.75" thickBot="1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5"/>
    </row>
    <row r="38" spans="1:12" ht="15.75" thickBot="1" x14ac:dyDescent="0.3">
      <c r="A38" s="5"/>
      <c r="L38" s="123"/>
    </row>
    <row r="39" spans="1:12" ht="27" thickBot="1" x14ac:dyDescent="0.45">
      <c r="A39" s="731" t="s">
        <v>30</v>
      </c>
      <c r="B39" s="732"/>
      <c r="C39" s="732"/>
      <c r="D39" s="732"/>
      <c r="E39" s="732"/>
      <c r="F39" s="732"/>
      <c r="G39" s="732"/>
      <c r="H39" s="732"/>
      <c r="I39" s="732"/>
      <c r="J39" s="732"/>
      <c r="K39" s="732"/>
      <c r="L39" s="733"/>
    </row>
    <row r="40" spans="1:12" ht="39.950000000000003" customHeight="1" thickBot="1" x14ac:dyDescent="0.3">
      <c r="A40" s="736" t="s">
        <v>31</v>
      </c>
      <c r="B40" s="737"/>
      <c r="C40" s="211" t="s">
        <v>4</v>
      </c>
      <c r="D40" s="211" t="s">
        <v>2</v>
      </c>
      <c r="E40" s="211" t="s">
        <v>3</v>
      </c>
      <c r="H40" s="729" t="s">
        <v>32</v>
      </c>
      <c r="I40" s="730"/>
      <c r="J40" s="212" t="s">
        <v>4</v>
      </c>
      <c r="K40" s="212" t="s">
        <v>2</v>
      </c>
      <c r="L40" s="474" t="s">
        <v>3</v>
      </c>
    </row>
    <row r="41" spans="1:12" ht="30" customHeight="1" x14ac:dyDescent="0.25">
      <c r="A41" s="721" t="s">
        <v>21</v>
      </c>
      <c r="B41" s="126">
        <v>100</v>
      </c>
      <c r="C41" s="199">
        <v>3</v>
      </c>
      <c r="D41" s="111">
        <f>B41-C41</f>
        <v>97</v>
      </c>
      <c r="E41" s="112">
        <f>B41+C41</f>
        <v>103</v>
      </c>
      <c r="H41" s="578" t="s">
        <v>21</v>
      </c>
      <c r="I41" s="126">
        <v>100</v>
      </c>
      <c r="J41" s="199">
        <v>12</v>
      </c>
      <c r="K41" s="111">
        <f>I41-J41</f>
        <v>88</v>
      </c>
      <c r="L41" s="475">
        <f>I41+J41</f>
        <v>112</v>
      </c>
    </row>
    <row r="42" spans="1:12" ht="30" customHeight="1" x14ac:dyDescent="0.25">
      <c r="A42" s="722"/>
      <c r="B42" s="130">
        <v>150</v>
      </c>
      <c r="C42" s="206">
        <v>3</v>
      </c>
      <c r="D42" s="113">
        <f>B42-C42</f>
        <v>147</v>
      </c>
      <c r="E42" s="114">
        <f>B42+C42</f>
        <v>153</v>
      </c>
      <c r="H42" s="579"/>
      <c r="I42" s="130">
        <v>500</v>
      </c>
      <c r="J42" s="206">
        <v>12</v>
      </c>
      <c r="K42" s="113">
        <f>I42-J42</f>
        <v>488</v>
      </c>
      <c r="L42" s="476">
        <f>I42+J42</f>
        <v>512</v>
      </c>
    </row>
    <row r="43" spans="1:12" ht="30" customHeight="1" thickBot="1" x14ac:dyDescent="0.3">
      <c r="A43" s="723"/>
      <c r="B43" s="154">
        <v>200</v>
      </c>
      <c r="C43" s="207">
        <v>3</v>
      </c>
      <c r="D43" s="102">
        <f>B43-C43</f>
        <v>197</v>
      </c>
      <c r="E43" s="103">
        <f>B43+C43</f>
        <v>203</v>
      </c>
      <c r="H43" s="580"/>
      <c r="I43" s="154">
        <v>1000</v>
      </c>
      <c r="J43" s="207">
        <v>12</v>
      </c>
      <c r="K43" s="102">
        <f>I43-J43</f>
        <v>988</v>
      </c>
      <c r="L43" s="477">
        <f>I43+J43</f>
        <v>1012</v>
      </c>
    </row>
    <row r="44" spans="1:12" ht="30" customHeight="1" x14ac:dyDescent="0.25">
      <c r="A44" s="478"/>
      <c r="B44" s="467"/>
      <c r="C44" s="466"/>
      <c r="D44" s="465"/>
      <c r="E44" s="464"/>
      <c r="L44" s="479"/>
    </row>
    <row r="45" spans="1:12" ht="64.5" customHeight="1" x14ac:dyDescent="0.25">
      <c r="A45" s="727" t="s">
        <v>165</v>
      </c>
      <c r="B45" s="728"/>
      <c r="C45" s="469" t="s">
        <v>4</v>
      </c>
      <c r="D45" s="472" t="s">
        <v>2</v>
      </c>
      <c r="E45" s="472" t="s">
        <v>3</v>
      </c>
      <c r="L45" s="479"/>
    </row>
    <row r="46" spans="1:12" ht="30" customHeight="1" x14ac:dyDescent="0.25">
      <c r="A46" s="722" t="s">
        <v>21</v>
      </c>
      <c r="B46" s="468">
        <v>1</v>
      </c>
      <c r="C46" s="470">
        <v>12</v>
      </c>
      <c r="D46" s="471">
        <f>B46-C46</f>
        <v>-11</v>
      </c>
      <c r="E46" s="473">
        <f>B46+C46</f>
        <v>13</v>
      </c>
      <c r="L46" s="479"/>
    </row>
    <row r="47" spans="1:12" ht="30" customHeight="1" x14ac:dyDescent="0.25">
      <c r="A47" s="722"/>
      <c r="B47" s="130">
        <v>5</v>
      </c>
      <c r="C47" s="206">
        <v>12</v>
      </c>
      <c r="D47" s="113">
        <f>B47-C47</f>
        <v>-7</v>
      </c>
      <c r="E47" s="114">
        <f>B47+C47</f>
        <v>17</v>
      </c>
      <c r="L47" s="479"/>
    </row>
    <row r="48" spans="1:12" ht="30" customHeight="1" thickBot="1" x14ac:dyDescent="0.3">
      <c r="A48" s="722"/>
      <c r="B48" s="135">
        <v>10</v>
      </c>
      <c r="C48" s="480">
        <v>12</v>
      </c>
      <c r="D48" s="93">
        <f>B48-C48</f>
        <v>-2</v>
      </c>
      <c r="E48" s="94">
        <f>B48+C48</f>
        <v>22</v>
      </c>
      <c r="L48" s="479"/>
    </row>
    <row r="49" spans="1:12" ht="15.75" thickBot="1" x14ac:dyDescent="0.3">
      <c r="A49" s="481"/>
      <c r="B49" s="482"/>
      <c r="C49" s="482"/>
      <c r="D49" s="482"/>
      <c r="E49" s="482"/>
      <c r="F49" s="482"/>
      <c r="G49" s="482"/>
      <c r="H49" s="482"/>
      <c r="I49" s="482"/>
      <c r="J49" s="482"/>
      <c r="K49" s="482"/>
      <c r="L49" s="483"/>
    </row>
    <row r="50" spans="1:12" ht="27" thickBot="1" x14ac:dyDescent="0.45">
      <c r="A50" s="724" t="s">
        <v>20</v>
      </c>
      <c r="B50" s="725"/>
      <c r="C50" s="725"/>
      <c r="D50" s="725"/>
      <c r="E50" s="725"/>
      <c r="F50" s="725"/>
      <c r="G50" s="725"/>
      <c r="H50" s="725"/>
      <c r="I50" s="725"/>
      <c r="J50" s="725"/>
      <c r="K50" s="725"/>
      <c r="L50" s="726"/>
    </row>
    <row r="51" spans="1:12" ht="39.950000000000003" customHeight="1" thickBot="1" x14ac:dyDescent="0.3">
      <c r="A51" s="554" t="s">
        <v>22</v>
      </c>
      <c r="B51" s="556"/>
      <c r="C51" s="213" t="s">
        <v>4</v>
      </c>
      <c r="D51" s="213" t="s">
        <v>2</v>
      </c>
      <c r="E51" s="213" t="s">
        <v>3</v>
      </c>
      <c r="F51" s="14"/>
      <c r="G51" s="14"/>
      <c r="H51" s="14"/>
      <c r="I51" s="14"/>
      <c r="J51" s="14"/>
      <c r="K51" s="14"/>
      <c r="L51" s="214"/>
    </row>
    <row r="52" spans="1:12" ht="30" customHeight="1" x14ac:dyDescent="0.25">
      <c r="A52" s="517" t="s">
        <v>21</v>
      </c>
      <c r="B52" s="343">
        <v>10</v>
      </c>
      <c r="C52" s="344">
        <v>3</v>
      </c>
      <c r="D52" s="345">
        <f>B52-C52</f>
        <v>7</v>
      </c>
      <c r="E52" s="346">
        <f>B52+C52</f>
        <v>13</v>
      </c>
      <c r="L52" s="123"/>
    </row>
    <row r="53" spans="1:12" ht="30" customHeight="1" x14ac:dyDescent="0.25">
      <c r="A53" s="519"/>
      <c r="B53" s="283">
        <v>40</v>
      </c>
      <c r="C53" s="284">
        <v>3</v>
      </c>
      <c r="D53" s="339">
        <f t="shared" ref="D53:D56" si="2">B53-C53</f>
        <v>37</v>
      </c>
      <c r="E53" s="340">
        <f t="shared" ref="E53:E56" si="3">B53+C53</f>
        <v>43</v>
      </c>
      <c r="L53" s="123"/>
    </row>
    <row r="54" spans="1:12" ht="30" customHeight="1" x14ac:dyDescent="0.25">
      <c r="A54" s="519"/>
      <c r="B54" s="279">
        <v>50</v>
      </c>
      <c r="C54" s="225">
        <v>3</v>
      </c>
      <c r="D54" s="354">
        <f t="shared" si="2"/>
        <v>47</v>
      </c>
      <c r="E54" s="355">
        <f t="shared" si="3"/>
        <v>53</v>
      </c>
      <c r="L54" s="123"/>
    </row>
    <row r="55" spans="1:12" ht="30" customHeight="1" x14ac:dyDescent="0.25">
      <c r="A55" s="519"/>
      <c r="B55" s="350">
        <v>60</v>
      </c>
      <c r="C55" s="351">
        <v>3</v>
      </c>
      <c r="D55" s="352">
        <f t="shared" si="2"/>
        <v>57</v>
      </c>
      <c r="E55" s="353">
        <f t="shared" si="3"/>
        <v>63</v>
      </c>
      <c r="L55" s="123"/>
    </row>
    <row r="56" spans="1:12" ht="30" customHeight="1" thickBot="1" x14ac:dyDescent="0.3">
      <c r="A56" s="521"/>
      <c r="B56" s="347">
        <v>190</v>
      </c>
      <c r="C56" s="282">
        <v>3</v>
      </c>
      <c r="D56" s="356">
        <f t="shared" si="2"/>
        <v>187</v>
      </c>
      <c r="E56" s="357">
        <f t="shared" si="3"/>
        <v>193</v>
      </c>
      <c r="H56" s="14"/>
      <c r="I56" s="14"/>
      <c r="J56" s="14"/>
      <c r="K56" s="14"/>
      <c r="L56" s="214"/>
    </row>
    <row r="57" spans="1:12" ht="15.75" thickBot="1" x14ac:dyDescent="0.3">
      <c r="A57" s="163"/>
      <c r="B57" s="164"/>
      <c r="C57" s="164"/>
      <c r="D57" s="164"/>
      <c r="E57" s="164"/>
      <c r="F57" s="164"/>
      <c r="G57" s="164"/>
      <c r="H57" s="164"/>
      <c r="I57" s="164"/>
      <c r="J57" s="164"/>
      <c r="K57" s="164"/>
      <c r="L57" s="165"/>
    </row>
  </sheetData>
  <mergeCells count="31">
    <mergeCell ref="H40:I40"/>
    <mergeCell ref="A39:L39"/>
    <mergeCell ref="H10:H12"/>
    <mergeCell ref="A23:A25"/>
    <mergeCell ref="A22:B22"/>
    <mergeCell ref="H22:I22"/>
    <mergeCell ref="H28:I28"/>
    <mergeCell ref="A40:B40"/>
    <mergeCell ref="A10:A15"/>
    <mergeCell ref="A52:A56"/>
    <mergeCell ref="A41:A43"/>
    <mergeCell ref="H41:H43"/>
    <mergeCell ref="A50:L50"/>
    <mergeCell ref="A51:B51"/>
    <mergeCell ref="A45:B45"/>
    <mergeCell ref="A46:A48"/>
    <mergeCell ref="B1:J2"/>
    <mergeCell ref="A3:L3"/>
    <mergeCell ref="A34:A36"/>
    <mergeCell ref="A33:B33"/>
    <mergeCell ref="A28:B28"/>
    <mergeCell ref="A29:A31"/>
    <mergeCell ref="A18:A20"/>
    <mergeCell ref="A17:B17"/>
    <mergeCell ref="A6:L6"/>
    <mergeCell ref="H17:I17"/>
    <mergeCell ref="A8:L8"/>
    <mergeCell ref="A9:B9"/>
    <mergeCell ref="H9:I9"/>
    <mergeCell ref="H29:H31"/>
    <mergeCell ref="H23:H25"/>
  </mergeCells>
  <pageMargins left="0.511811024" right="0.511811024" top="0.78740157499999996" bottom="0.78740157499999996" header="0.31496062000000002" footer="0.31496062000000002"/>
  <pageSetup paperSize="9" scale="71" fitToHeight="0" orientation="landscape" r:id="rId1"/>
  <headerFooter>
    <oddFooter>&amp;L_x000D_&amp;1#&amp;"Calibri"&amp;10&amp;K000000 Classificação da Informação: Interno</oddFooter>
  </headerFooter>
  <rowBreaks count="1" manualBreakCount="1">
    <brk id="16" max="11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D9A7-8797-4520-88E9-6A647AB6518F}">
  <sheetPr>
    <tabColor rgb="FFFFC000"/>
    <pageSetUpPr fitToPage="1"/>
  </sheetPr>
  <dimension ref="A1:M25"/>
  <sheetViews>
    <sheetView showGridLines="0" zoomScale="80" zoomScaleNormal="80" zoomScaleSheetLayoutView="100" workbookViewId="0">
      <selection activeCell="O4" sqref="O4"/>
    </sheetView>
  </sheetViews>
  <sheetFormatPr defaultRowHeight="15" x14ac:dyDescent="0.25"/>
  <cols>
    <col min="1" max="1" width="30.7109375" customWidth="1"/>
    <col min="2" max="2" width="10.7109375" customWidth="1"/>
    <col min="3" max="3" width="9.7109375" bestFit="1" customWidth="1"/>
    <col min="4" max="4" width="15.140625" bestFit="1" customWidth="1"/>
    <col min="5" max="5" width="15.42578125" bestFit="1" customWidth="1"/>
    <col min="6" max="6" width="4.5703125" customWidth="1"/>
    <col min="7" max="7" width="30.7109375" customWidth="1"/>
    <col min="8" max="8" width="18.85546875" customWidth="1"/>
    <col min="9" max="9" width="9.7109375" customWidth="1"/>
    <col min="10" max="11" width="18.7109375" bestFit="1" customWidth="1"/>
  </cols>
  <sheetData>
    <row r="1" spans="1:13" ht="30" customHeight="1" thickBot="1" x14ac:dyDescent="0.3">
      <c r="A1" s="543"/>
      <c r="B1" s="507" t="s">
        <v>78</v>
      </c>
      <c r="C1" s="538"/>
      <c r="D1" s="538"/>
      <c r="E1" s="538"/>
      <c r="F1" s="538"/>
      <c r="G1" s="539"/>
      <c r="H1" s="513" t="s">
        <v>82</v>
      </c>
      <c r="I1" s="514"/>
      <c r="J1" s="537"/>
      <c r="K1" s="4" t="s">
        <v>175</v>
      </c>
    </row>
    <row r="2" spans="1:13" ht="30" customHeight="1" thickBot="1" x14ac:dyDescent="0.3">
      <c r="A2" s="544"/>
      <c r="B2" s="540"/>
      <c r="C2" s="541"/>
      <c r="D2" s="541"/>
      <c r="E2" s="541"/>
      <c r="F2" s="541"/>
      <c r="G2" s="542"/>
      <c r="H2" s="513" t="s">
        <v>79</v>
      </c>
      <c r="I2" s="514"/>
      <c r="J2" s="537"/>
      <c r="K2" s="4" t="s">
        <v>80</v>
      </c>
    </row>
    <row r="3" spans="1:13" ht="15.75" customHeight="1" thickBot="1" x14ac:dyDescent="0.3">
      <c r="A3" s="749" t="s">
        <v>81</v>
      </c>
      <c r="B3" s="750"/>
      <c r="C3" s="750"/>
      <c r="D3" s="750"/>
      <c r="E3" s="750"/>
      <c r="F3" s="750"/>
      <c r="G3" s="750"/>
      <c r="H3" s="750"/>
      <c r="I3" s="750"/>
      <c r="J3" s="750"/>
      <c r="K3" s="751"/>
    </row>
    <row r="4" spans="1:13" ht="15.75" customHeight="1" thickBot="1" x14ac:dyDescent="0.3">
      <c r="A4" s="383"/>
      <c r="B4" s="384"/>
      <c r="C4" s="384"/>
      <c r="D4" s="384"/>
      <c r="E4" s="384"/>
      <c r="F4" s="384"/>
      <c r="G4" s="384"/>
      <c r="H4" s="384"/>
      <c r="I4" s="4"/>
      <c r="J4" s="230" t="s">
        <v>89</v>
      </c>
      <c r="K4" s="230" t="s">
        <v>177</v>
      </c>
      <c r="L4" s="121"/>
      <c r="M4" s="121"/>
    </row>
    <row r="5" spans="1:13" ht="15.75" thickBot="1" x14ac:dyDescent="0.3">
      <c r="A5" s="121"/>
      <c r="B5" s="121"/>
      <c r="C5" s="121"/>
      <c r="D5" s="121"/>
      <c r="E5" s="121"/>
      <c r="F5" s="121"/>
      <c r="G5" s="121"/>
      <c r="H5" s="121"/>
    </row>
    <row r="6" spans="1:13" ht="66" customHeight="1" thickBot="1" x14ac:dyDescent="0.3">
      <c r="A6" s="738" t="s">
        <v>92</v>
      </c>
      <c r="B6" s="739"/>
      <c r="C6" s="739"/>
      <c r="D6" s="739"/>
      <c r="E6" s="739"/>
      <c r="F6" s="739"/>
      <c r="G6" s="739"/>
      <c r="H6" s="739"/>
      <c r="I6" s="739"/>
      <c r="J6" s="739"/>
      <c r="K6" s="740"/>
    </row>
    <row r="7" spans="1:13" ht="15" customHeight="1" thickBot="1" x14ac:dyDescent="0.3"/>
    <row r="8" spans="1:13" s="14" customFormat="1" ht="39.950000000000003" customHeight="1" thickBot="1" x14ac:dyDescent="0.3">
      <c r="A8" s="745" t="s">
        <v>59</v>
      </c>
      <c r="B8" s="746"/>
      <c r="C8" s="231" t="s">
        <v>4</v>
      </c>
      <c r="D8" s="231" t="s">
        <v>2</v>
      </c>
      <c r="E8" s="231" t="s">
        <v>3</v>
      </c>
      <c r="G8" s="741" t="s">
        <v>58</v>
      </c>
      <c r="H8" s="742"/>
      <c r="I8" s="232" t="s">
        <v>4</v>
      </c>
      <c r="J8" s="232" t="s">
        <v>2</v>
      </c>
      <c r="K8" s="232" t="s">
        <v>3</v>
      </c>
      <c r="M8" s="233"/>
    </row>
    <row r="9" spans="1:13" ht="30" customHeight="1" x14ac:dyDescent="0.25">
      <c r="A9" s="578" t="s">
        <v>38</v>
      </c>
      <c r="B9" s="294">
        <v>2</v>
      </c>
      <c r="C9" s="358">
        <v>1.5</v>
      </c>
      <c r="D9" s="337">
        <f>B9-C9</f>
        <v>0.5</v>
      </c>
      <c r="E9" s="338">
        <f>B9+C9</f>
        <v>3.5</v>
      </c>
      <c r="G9" s="578" t="s">
        <v>38</v>
      </c>
      <c r="H9" s="48">
        <v>-5</v>
      </c>
      <c r="I9" s="234">
        <v>1.5</v>
      </c>
      <c r="J9" s="337">
        <f>(-H9)-I9</f>
        <v>3.5</v>
      </c>
      <c r="K9" s="338">
        <f>(-H9)+I9</f>
        <v>6.5</v>
      </c>
    </row>
    <row r="10" spans="1:13" ht="30" customHeight="1" x14ac:dyDescent="0.25">
      <c r="A10" s="579"/>
      <c r="B10" s="20">
        <v>5</v>
      </c>
      <c r="C10" s="235">
        <v>1.5</v>
      </c>
      <c r="D10" s="113">
        <f>B10-C10</f>
        <v>3.5</v>
      </c>
      <c r="E10" s="114">
        <f>B10+C10</f>
        <v>6.5</v>
      </c>
      <c r="G10" s="579"/>
      <c r="H10" s="50">
        <v>-10</v>
      </c>
      <c r="I10" s="235">
        <v>1.5</v>
      </c>
      <c r="J10" s="113">
        <f t="shared" ref="J10:J11" si="0">(-H10)-I10</f>
        <v>8.5</v>
      </c>
      <c r="K10" s="114">
        <f t="shared" ref="K10" si="1">(-H10)+I10</f>
        <v>11.5</v>
      </c>
    </row>
    <row r="11" spans="1:13" ht="30" customHeight="1" thickBot="1" x14ac:dyDescent="0.3">
      <c r="A11" s="580"/>
      <c r="B11" s="255">
        <v>8</v>
      </c>
      <c r="C11" s="360">
        <v>1.5</v>
      </c>
      <c r="D11" s="341">
        <f>B11-C11</f>
        <v>6.5</v>
      </c>
      <c r="E11" s="342">
        <f>B11+C11</f>
        <v>9.5</v>
      </c>
      <c r="G11" s="580"/>
      <c r="H11" s="52">
        <v>-20</v>
      </c>
      <c r="I11" s="236">
        <v>1.5</v>
      </c>
      <c r="J11" s="341">
        <f t="shared" si="0"/>
        <v>18.5</v>
      </c>
      <c r="K11" s="342">
        <f>(-H11)+I11</f>
        <v>21.5</v>
      </c>
    </row>
    <row r="12" spans="1:13" ht="15" customHeight="1" thickBot="1" x14ac:dyDescent="0.3">
      <c r="A12" s="201"/>
      <c r="B12" s="201"/>
      <c r="C12" s="201"/>
      <c r="D12" s="201"/>
      <c r="E12" s="201"/>
    </row>
    <row r="13" spans="1:13" ht="39.950000000000003" customHeight="1" thickBot="1" x14ac:dyDescent="0.3">
      <c r="A13" s="743" t="s">
        <v>57</v>
      </c>
      <c r="B13" s="744"/>
      <c r="C13" s="237" t="s">
        <v>4</v>
      </c>
      <c r="D13" s="237" t="s">
        <v>2</v>
      </c>
      <c r="E13" s="237" t="s">
        <v>3</v>
      </c>
      <c r="G13" s="692" t="s">
        <v>39</v>
      </c>
      <c r="H13" s="694"/>
      <c r="I13" s="190" t="s">
        <v>4</v>
      </c>
      <c r="J13" s="190" t="s">
        <v>2</v>
      </c>
      <c r="K13" s="190" t="s">
        <v>3</v>
      </c>
    </row>
    <row r="14" spans="1:13" ht="30" customHeight="1" x14ac:dyDescent="0.25">
      <c r="A14" s="578" t="s">
        <v>40</v>
      </c>
      <c r="B14" s="328">
        <v>20</v>
      </c>
      <c r="C14" s="364">
        <v>1.5</v>
      </c>
      <c r="D14" s="345">
        <f t="shared" ref="D14:D19" si="2">B14-C14</f>
        <v>18.5</v>
      </c>
      <c r="E14" s="346">
        <f t="shared" ref="E14:E19" si="3">B14+C14</f>
        <v>21.5</v>
      </c>
      <c r="G14" s="517" t="s">
        <v>40</v>
      </c>
      <c r="H14" s="328">
        <v>2</v>
      </c>
      <c r="I14" s="226">
        <v>1</v>
      </c>
      <c r="J14" s="345">
        <f>H14-I14</f>
        <v>1</v>
      </c>
      <c r="K14" s="346">
        <f>H14+I14</f>
        <v>3</v>
      </c>
      <c r="L14" s="238"/>
      <c r="M14" s="238"/>
    </row>
    <row r="15" spans="1:13" ht="30" customHeight="1" x14ac:dyDescent="0.25">
      <c r="A15" s="579"/>
      <c r="B15" s="270">
        <v>22</v>
      </c>
      <c r="C15" s="359">
        <v>1.5</v>
      </c>
      <c r="D15" s="339">
        <f t="shared" si="2"/>
        <v>20.5</v>
      </c>
      <c r="E15" s="340">
        <f t="shared" si="3"/>
        <v>23.5</v>
      </c>
      <c r="G15" s="519"/>
      <c r="H15" s="270">
        <v>5</v>
      </c>
      <c r="I15" s="326">
        <v>1</v>
      </c>
      <c r="J15" s="339">
        <f>H15-I15</f>
        <v>4</v>
      </c>
      <c r="K15" s="340">
        <f t="shared" ref="K15:K17" si="4">H15+I15</f>
        <v>6</v>
      </c>
      <c r="L15" s="238"/>
      <c r="M15" s="238"/>
    </row>
    <row r="16" spans="1:13" ht="30" customHeight="1" thickBot="1" x14ac:dyDescent="0.3">
      <c r="A16" s="580"/>
      <c r="B16" s="365">
        <v>24</v>
      </c>
      <c r="C16" s="366">
        <v>1.5</v>
      </c>
      <c r="D16" s="348">
        <f t="shared" si="2"/>
        <v>22.5</v>
      </c>
      <c r="E16" s="349">
        <f t="shared" si="3"/>
        <v>25.5</v>
      </c>
      <c r="G16" s="519"/>
      <c r="H16" s="279">
        <v>8</v>
      </c>
      <c r="I16" s="331">
        <v>1</v>
      </c>
      <c r="J16" s="354">
        <f>H16-I16</f>
        <v>7</v>
      </c>
      <c r="K16" s="355">
        <f t="shared" si="4"/>
        <v>9</v>
      </c>
      <c r="L16" s="238"/>
      <c r="M16" s="238"/>
    </row>
    <row r="17" spans="1:11" ht="30" customHeight="1" x14ac:dyDescent="0.25">
      <c r="A17" s="578" t="s">
        <v>70</v>
      </c>
      <c r="B17" s="361">
        <v>50</v>
      </c>
      <c r="C17" s="362">
        <v>7</v>
      </c>
      <c r="D17" s="337">
        <f t="shared" si="2"/>
        <v>43</v>
      </c>
      <c r="E17" s="338">
        <f t="shared" si="3"/>
        <v>57</v>
      </c>
      <c r="G17" s="519"/>
      <c r="H17" s="270">
        <v>15</v>
      </c>
      <c r="I17" s="326">
        <v>1</v>
      </c>
      <c r="J17" s="339">
        <f t="shared" ref="J17:J18" si="5">H17-I17</f>
        <v>14</v>
      </c>
      <c r="K17" s="340">
        <f t="shared" si="4"/>
        <v>16</v>
      </c>
    </row>
    <row r="18" spans="1:11" ht="30" customHeight="1" thickBot="1" x14ac:dyDescent="0.3">
      <c r="A18" s="579"/>
      <c r="B18" s="367">
        <v>60</v>
      </c>
      <c r="C18" s="368">
        <v>7</v>
      </c>
      <c r="D18" s="354">
        <f t="shared" si="2"/>
        <v>53</v>
      </c>
      <c r="E18" s="355">
        <f t="shared" si="3"/>
        <v>67</v>
      </c>
      <c r="G18" s="521"/>
      <c r="H18" s="365">
        <v>20</v>
      </c>
      <c r="I18" s="227">
        <v>1</v>
      </c>
      <c r="J18" s="348">
        <f t="shared" si="5"/>
        <v>19</v>
      </c>
      <c r="K18" s="349">
        <f>H18+I18</f>
        <v>21</v>
      </c>
    </row>
    <row r="19" spans="1:11" ht="30" customHeight="1" thickBot="1" x14ac:dyDescent="0.3">
      <c r="A19" s="580"/>
      <c r="B19" s="332">
        <v>70</v>
      </c>
      <c r="C19" s="363">
        <v>7</v>
      </c>
      <c r="D19" s="341">
        <f t="shared" si="2"/>
        <v>63</v>
      </c>
      <c r="E19" s="342">
        <f t="shared" si="3"/>
        <v>77</v>
      </c>
    </row>
    <row r="20" spans="1:11" ht="15" customHeight="1" thickBot="1" x14ac:dyDescent="0.3"/>
    <row r="21" spans="1:11" ht="39.950000000000003" customHeight="1" thickBot="1" x14ac:dyDescent="0.3">
      <c r="A21" s="747" t="s">
        <v>41</v>
      </c>
      <c r="B21" s="748"/>
      <c r="C21" s="192" t="s">
        <v>4</v>
      </c>
      <c r="D21" s="192" t="s">
        <v>2</v>
      </c>
      <c r="E21" s="192" t="s">
        <v>3</v>
      </c>
    </row>
    <row r="22" spans="1:11" ht="30" customHeight="1" x14ac:dyDescent="0.25">
      <c r="A22" s="578" t="s">
        <v>40</v>
      </c>
      <c r="B22" s="369">
        <v>36</v>
      </c>
      <c r="C22" s="364">
        <v>0.5</v>
      </c>
      <c r="D22" s="345">
        <f>B22-C22</f>
        <v>35.5</v>
      </c>
      <c r="E22" s="346">
        <f>B22+C22</f>
        <v>36.5</v>
      </c>
    </row>
    <row r="23" spans="1:11" ht="30" customHeight="1" x14ac:dyDescent="0.25">
      <c r="A23" s="579"/>
      <c r="B23" s="312">
        <v>38</v>
      </c>
      <c r="C23" s="359">
        <v>0.5</v>
      </c>
      <c r="D23" s="339">
        <f>B23-C23</f>
        <v>37.5</v>
      </c>
      <c r="E23" s="340">
        <f>B23+C23</f>
        <v>38.5</v>
      </c>
    </row>
    <row r="24" spans="1:11" ht="30" customHeight="1" thickBot="1" x14ac:dyDescent="0.3">
      <c r="A24" s="580"/>
      <c r="B24" s="334">
        <v>40</v>
      </c>
      <c r="C24" s="366">
        <v>0.5</v>
      </c>
      <c r="D24" s="348">
        <f>B24-C24</f>
        <v>39.5</v>
      </c>
      <c r="E24" s="349">
        <f>B24+C24</f>
        <v>40.5</v>
      </c>
    </row>
    <row r="25" spans="1:11" ht="15" customHeight="1" thickBot="1" x14ac:dyDescent="0.3"/>
  </sheetData>
  <mergeCells count="17">
    <mergeCell ref="H2:J2"/>
    <mergeCell ref="H1:J1"/>
    <mergeCell ref="B1:G2"/>
    <mergeCell ref="A3:K3"/>
    <mergeCell ref="A1:A2"/>
    <mergeCell ref="A6:K6"/>
    <mergeCell ref="A22:A24"/>
    <mergeCell ref="G8:H8"/>
    <mergeCell ref="G9:G11"/>
    <mergeCell ref="G13:H13"/>
    <mergeCell ref="A13:B13"/>
    <mergeCell ref="A14:A16"/>
    <mergeCell ref="A17:A19"/>
    <mergeCell ref="A8:B8"/>
    <mergeCell ref="A9:A11"/>
    <mergeCell ref="G14:G18"/>
    <mergeCell ref="A21:B21"/>
  </mergeCells>
  <pageMargins left="0.511811024" right="0.511811024" top="0.78740157499999996" bottom="0.78740157499999996" header="0.31496062000000002" footer="0.31496062000000002"/>
  <pageSetup paperSize="9" scale="50" fitToHeight="0" orientation="portrait" r:id="rId1"/>
  <headerFooter>
    <oddFooter>&amp;L_x000D_&amp;1#&amp;"Calibri"&amp;10&amp;K000000 Classificação da Informação: Interno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4DD8-7FBE-4AAD-B94B-196BE0B064D5}">
  <sheetPr>
    <tabColor rgb="FFFFC000"/>
  </sheetPr>
  <dimension ref="A1:K26"/>
  <sheetViews>
    <sheetView showGridLines="0" zoomScale="80" zoomScaleNormal="80" zoomScaleSheetLayoutView="100" workbookViewId="0">
      <selection activeCell="K2" sqref="K2"/>
    </sheetView>
  </sheetViews>
  <sheetFormatPr defaultRowHeight="15" x14ac:dyDescent="0.25"/>
  <cols>
    <col min="1" max="1" width="23.5703125" customWidth="1"/>
    <col min="2" max="2" width="18.7109375" customWidth="1"/>
    <col min="3" max="4" width="13.28515625" customWidth="1"/>
    <col min="5" max="5" width="16.28515625" bestFit="1" customWidth="1"/>
    <col min="6" max="6" width="16.140625" bestFit="1" customWidth="1"/>
    <col min="7" max="7" width="19" customWidth="1"/>
  </cols>
  <sheetData>
    <row r="1" spans="1:11" ht="30" customHeight="1" thickBot="1" x14ac:dyDescent="0.3">
      <c r="A1" s="2"/>
      <c r="B1" s="507" t="s">
        <v>78</v>
      </c>
      <c r="C1" s="538"/>
      <c r="D1" s="539"/>
      <c r="E1" s="3" t="s">
        <v>82</v>
      </c>
      <c r="F1" s="4" t="s">
        <v>175</v>
      </c>
    </row>
    <row r="2" spans="1:11" ht="30" customHeight="1" thickBot="1" x14ac:dyDescent="0.3">
      <c r="A2" s="5"/>
      <c r="B2" s="540"/>
      <c r="C2" s="541"/>
      <c r="D2" s="542"/>
      <c r="E2" s="6" t="s">
        <v>79</v>
      </c>
      <c r="F2" s="7" t="s">
        <v>80</v>
      </c>
    </row>
    <row r="3" spans="1:11" ht="15.75" customHeight="1" thickBot="1" x14ac:dyDescent="0.3">
      <c r="A3" s="513" t="s">
        <v>81</v>
      </c>
      <c r="B3" s="514"/>
      <c r="C3" s="514"/>
      <c r="D3" s="514"/>
      <c r="E3" s="514"/>
      <c r="F3" s="537"/>
    </row>
    <row r="4" spans="1:11" ht="15.75" customHeight="1" thickBot="1" x14ac:dyDescent="0.3">
      <c r="A4" s="8"/>
      <c r="B4" s="9"/>
      <c r="C4" s="9"/>
      <c r="D4" s="56"/>
      <c r="E4" s="119" t="s">
        <v>88</v>
      </c>
      <c r="F4" s="119" t="s">
        <v>177</v>
      </c>
    </row>
    <row r="5" spans="1:11" ht="15.75" thickBot="1" x14ac:dyDescent="0.3"/>
    <row r="6" spans="1:11" ht="45.6" customHeight="1" thickBot="1" x14ac:dyDescent="0.4">
      <c r="A6" s="524" t="s">
        <v>160</v>
      </c>
      <c r="B6" s="525"/>
      <c r="C6" s="525"/>
      <c r="D6" s="525"/>
      <c r="E6" s="525"/>
      <c r="F6" s="525"/>
    </row>
    <row r="7" spans="1:11" ht="15" customHeight="1" thickBot="1" x14ac:dyDescent="0.3"/>
    <row r="8" spans="1:11" s="14" customFormat="1" ht="51.75" customHeight="1" thickBot="1" x14ac:dyDescent="0.3">
      <c r="A8" s="754" t="s">
        <v>155</v>
      </c>
      <c r="B8" s="755"/>
      <c r="C8" s="756"/>
      <c r="D8" s="239" t="s">
        <v>4</v>
      </c>
      <c r="E8" s="239" t="s">
        <v>2</v>
      </c>
      <c r="F8" s="239" t="s">
        <v>3</v>
      </c>
      <c r="G8" s="586"/>
      <c r="H8" s="586"/>
      <c r="I8" s="586"/>
      <c r="J8" s="586"/>
      <c r="K8" s="586"/>
    </row>
    <row r="9" spans="1:11" ht="30" customHeight="1" x14ac:dyDescent="0.25">
      <c r="A9" s="517" t="s">
        <v>156</v>
      </c>
      <c r="B9" s="548"/>
      <c r="C9" s="429">
        <v>2</v>
      </c>
      <c r="D9" s="358">
        <v>1.5</v>
      </c>
      <c r="E9" s="337">
        <f>C9-D9</f>
        <v>0.5</v>
      </c>
      <c r="F9" s="338">
        <f>C9+D9</f>
        <v>3.5</v>
      </c>
      <c r="G9" s="586"/>
      <c r="H9" s="586"/>
      <c r="I9" s="586"/>
      <c r="J9" s="586"/>
      <c r="K9" s="586"/>
    </row>
    <row r="10" spans="1:11" ht="30" customHeight="1" thickBot="1" x14ac:dyDescent="0.3">
      <c r="A10" s="521"/>
      <c r="B10" s="550"/>
      <c r="C10" s="435">
        <v>8</v>
      </c>
      <c r="D10" s="436">
        <v>1.5</v>
      </c>
      <c r="E10" s="117">
        <f>C10-D10</f>
        <v>6.5</v>
      </c>
      <c r="F10" s="118">
        <f>C10+D10</f>
        <v>9.5</v>
      </c>
      <c r="G10" s="586"/>
      <c r="H10" s="586"/>
      <c r="I10" s="586"/>
      <c r="J10" s="586"/>
      <c r="K10" s="586"/>
    </row>
    <row r="11" spans="1:11" ht="30" hidden="1" customHeight="1" x14ac:dyDescent="0.25">
      <c r="A11" s="519" t="s">
        <v>47</v>
      </c>
      <c r="B11" s="520"/>
      <c r="C11" s="241">
        <v>10</v>
      </c>
      <c r="D11" s="242">
        <v>0.05</v>
      </c>
      <c r="E11" s="242">
        <v>0.05</v>
      </c>
      <c r="F11" s="242">
        <v>0.05</v>
      </c>
      <c r="G11" s="586"/>
      <c r="H11" s="586"/>
      <c r="I11" s="586"/>
      <c r="J11" s="586"/>
      <c r="K11" s="586"/>
    </row>
    <row r="12" spans="1:11" ht="30" hidden="1" customHeight="1" x14ac:dyDescent="0.25">
      <c r="A12" s="519"/>
      <c r="B12" s="520"/>
      <c r="C12" s="243">
        <v>25</v>
      </c>
      <c r="D12" s="92">
        <v>0.05</v>
      </c>
      <c r="E12" s="92">
        <v>0.05</v>
      </c>
      <c r="F12" s="92">
        <v>0.05</v>
      </c>
      <c r="G12" s="586"/>
      <c r="H12" s="586"/>
      <c r="I12" s="586"/>
      <c r="J12" s="586"/>
      <c r="K12" s="586"/>
    </row>
    <row r="13" spans="1:11" ht="30" hidden="1" customHeight="1" thickBot="1" x14ac:dyDescent="0.3">
      <c r="A13" s="521"/>
      <c r="B13" s="522"/>
      <c r="C13" s="244">
        <v>50</v>
      </c>
      <c r="D13" s="65">
        <v>0.05</v>
      </c>
      <c r="E13" s="65">
        <v>0.05</v>
      </c>
      <c r="F13" s="65">
        <v>0.05</v>
      </c>
      <c r="G13" s="586"/>
      <c r="H13" s="586"/>
      <c r="I13" s="586"/>
      <c r="J13" s="586"/>
      <c r="K13" s="586"/>
    </row>
    <row r="14" spans="1:11" ht="30" customHeight="1" thickBot="1" x14ac:dyDescent="0.3">
      <c r="A14" s="28"/>
      <c r="B14" s="240"/>
      <c r="C14" s="245"/>
      <c r="D14" s="246"/>
      <c r="E14" s="246"/>
      <c r="F14" s="246"/>
      <c r="G14" s="178"/>
      <c r="H14" s="178"/>
      <c r="I14" s="178"/>
      <c r="J14" s="178"/>
      <c r="K14" s="178"/>
    </row>
    <row r="15" spans="1:11" s="14" customFormat="1" ht="54" customHeight="1" thickBot="1" x14ac:dyDescent="0.3">
      <c r="A15" s="757" t="s">
        <v>157</v>
      </c>
      <c r="B15" s="758"/>
      <c r="C15" s="759"/>
      <c r="D15" s="194" t="s">
        <v>4</v>
      </c>
      <c r="E15" s="194" t="s">
        <v>2</v>
      </c>
      <c r="F15" s="194" t="s">
        <v>3</v>
      </c>
      <c r="G15" s="178"/>
      <c r="H15" s="178"/>
      <c r="I15" s="178"/>
      <c r="J15" s="178"/>
      <c r="K15" s="178"/>
    </row>
    <row r="16" spans="1:11" ht="30" customHeight="1" x14ac:dyDescent="0.25">
      <c r="A16" s="517" t="s">
        <v>156</v>
      </c>
      <c r="B16" s="548"/>
      <c r="C16" s="429">
        <v>2</v>
      </c>
      <c r="D16" s="358">
        <v>1.5</v>
      </c>
      <c r="E16" s="337">
        <f>C16-D16</f>
        <v>0.5</v>
      </c>
      <c r="F16" s="338">
        <f>C16+D16</f>
        <v>3.5</v>
      </c>
      <c r="G16" s="178"/>
      <c r="H16" s="178"/>
      <c r="I16" s="178"/>
      <c r="J16" s="178"/>
      <c r="K16" s="178"/>
    </row>
    <row r="17" spans="1:11" ht="30" customHeight="1" thickBot="1" x14ac:dyDescent="0.3">
      <c r="A17" s="521"/>
      <c r="B17" s="550"/>
      <c r="C17" s="435">
        <v>8</v>
      </c>
      <c r="D17" s="436">
        <v>1.5</v>
      </c>
      <c r="E17" s="117">
        <f>C17-D17</f>
        <v>6.5</v>
      </c>
      <c r="F17" s="118">
        <f>C17+D17</f>
        <v>9.5</v>
      </c>
      <c r="G17" s="178"/>
      <c r="H17" s="178"/>
      <c r="I17" s="178"/>
      <c r="J17" s="178"/>
      <c r="K17" s="178"/>
    </row>
    <row r="18" spans="1:11" ht="30" hidden="1" customHeight="1" x14ac:dyDescent="0.25">
      <c r="A18" s="519" t="s">
        <v>47</v>
      </c>
      <c r="B18" s="520"/>
      <c r="C18" s="248">
        <v>1</v>
      </c>
      <c r="D18" s="249">
        <v>0.1</v>
      </c>
      <c r="E18" s="249">
        <v>0.1</v>
      </c>
      <c r="F18" s="249">
        <v>0.1</v>
      </c>
    </row>
    <row r="19" spans="1:11" ht="30" hidden="1" customHeight="1" x14ac:dyDescent="0.25">
      <c r="A19" s="519"/>
      <c r="B19" s="520"/>
      <c r="C19" s="250">
        <v>5</v>
      </c>
      <c r="D19" s="242">
        <v>0.1</v>
      </c>
      <c r="E19" s="242">
        <v>0.1</v>
      </c>
      <c r="F19" s="242">
        <v>0.1</v>
      </c>
    </row>
    <row r="20" spans="1:11" ht="30" hidden="1" customHeight="1" thickBot="1" x14ac:dyDescent="0.3">
      <c r="A20" s="521"/>
      <c r="B20" s="522"/>
      <c r="C20" s="251">
        <v>15</v>
      </c>
      <c r="D20" s="252">
        <v>0.1</v>
      </c>
      <c r="E20" s="252">
        <v>0.1</v>
      </c>
      <c r="F20" s="252">
        <v>0.1</v>
      </c>
    </row>
    <row r="21" spans="1:11" ht="15" customHeight="1" thickBot="1" x14ac:dyDescent="0.3"/>
    <row r="22" spans="1:11" s="14" customFormat="1" ht="54" customHeight="1" thickBot="1" x14ac:dyDescent="0.3">
      <c r="A22" s="757" t="s">
        <v>158</v>
      </c>
      <c r="B22" s="758"/>
      <c r="C22" s="759"/>
      <c r="D22" s="194" t="s">
        <v>4</v>
      </c>
      <c r="E22" s="194" t="s">
        <v>2</v>
      </c>
      <c r="F22" s="194" t="s">
        <v>3</v>
      </c>
      <c r="G22" s="178"/>
      <c r="H22" s="178"/>
      <c r="I22" s="178"/>
      <c r="J22" s="178"/>
      <c r="K22" s="178"/>
    </row>
    <row r="23" spans="1:11" ht="30" customHeight="1" x14ac:dyDescent="0.25">
      <c r="A23" s="501" t="s">
        <v>156</v>
      </c>
      <c r="B23" s="752"/>
      <c r="C23" s="426">
        <v>15</v>
      </c>
      <c r="D23" s="358">
        <v>1.5</v>
      </c>
      <c r="E23" s="337">
        <f>C23-D23</f>
        <v>13.5</v>
      </c>
      <c r="F23" s="338">
        <f>C23+D23</f>
        <v>16.5</v>
      </c>
      <c r="G23" s="178"/>
      <c r="H23" s="178"/>
      <c r="I23" s="178"/>
      <c r="J23" s="178"/>
      <c r="K23" s="178"/>
    </row>
    <row r="24" spans="1:11" ht="30" customHeight="1" thickBot="1" x14ac:dyDescent="0.3">
      <c r="A24" s="503"/>
      <c r="B24" s="753"/>
      <c r="C24" s="427">
        <v>30</v>
      </c>
      <c r="D24" s="235">
        <v>1.5</v>
      </c>
      <c r="E24" s="113">
        <f>C24-D24</f>
        <v>28.5</v>
      </c>
      <c r="F24" s="114">
        <f>C24+D24</f>
        <v>31.5</v>
      </c>
      <c r="G24" s="178"/>
      <c r="H24" s="178"/>
      <c r="I24" s="178"/>
      <c r="J24" s="178"/>
      <c r="K24" s="178"/>
    </row>
    <row r="25" spans="1:11" ht="30" customHeight="1" x14ac:dyDescent="0.25">
      <c r="A25" s="501" t="s">
        <v>159</v>
      </c>
      <c r="B25" s="752"/>
      <c r="C25" s="426">
        <v>30</v>
      </c>
      <c r="D25" s="438">
        <v>7</v>
      </c>
      <c r="E25" s="337">
        <f>C25-D25</f>
        <v>23</v>
      </c>
      <c r="F25" s="338">
        <f>C25+D25</f>
        <v>37</v>
      </c>
      <c r="G25" s="178"/>
      <c r="H25" s="178"/>
      <c r="I25" s="178"/>
      <c r="J25" s="178"/>
      <c r="K25" s="178"/>
    </row>
    <row r="26" spans="1:11" ht="30" customHeight="1" thickBot="1" x14ac:dyDescent="0.3">
      <c r="A26" s="503"/>
      <c r="B26" s="753"/>
      <c r="C26" s="427">
        <v>70</v>
      </c>
      <c r="D26" s="437">
        <v>7</v>
      </c>
      <c r="E26" s="113">
        <f>C26-D26</f>
        <v>63</v>
      </c>
      <c r="F26" s="114">
        <f>C26+D26</f>
        <v>77</v>
      </c>
      <c r="G26" s="178"/>
      <c r="H26" s="178"/>
      <c r="I26" s="178"/>
      <c r="J26" s="178"/>
      <c r="K26" s="178"/>
    </row>
  </sheetData>
  <mergeCells count="13">
    <mergeCell ref="G8:K13"/>
    <mergeCell ref="A9:B10"/>
    <mergeCell ref="A11:B13"/>
    <mergeCell ref="A25:B26"/>
    <mergeCell ref="B1:D2"/>
    <mergeCell ref="A3:F3"/>
    <mergeCell ref="A6:F6"/>
    <mergeCell ref="A8:C8"/>
    <mergeCell ref="A15:C15"/>
    <mergeCell ref="A16:B17"/>
    <mergeCell ref="A18:B20"/>
    <mergeCell ref="A22:C22"/>
    <mergeCell ref="A23:B24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B7AA-C1CC-48AE-9684-4C26FAD6FA29}">
  <sheetPr>
    <tabColor rgb="FFFFC000"/>
  </sheetPr>
  <dimension ref="A1:K23"/>
  <sheetViews>
    <sheetView showGridLines="0" zoomScale="80" zoomScaleNormal="80" zoomScaleSheetLayoutView="100" workbookViewId="0">
      <selection activeCell="I3" sqref="I3"/>
    </sheetView>
  </sheetViews>
  <sheetFormatPr defaultRowHeight="15" x14ac:dyDescent="0.25"/>
  <cols>
    <col min="1" max="1" width="23.5703125" customWidth="1"/>
    <col min="2" max="2" width="18.7109375" customWidth="1"/>
    <col min="3" max="4" width="13.28515625" customWidth="1"/>
    <col min="5" max="5" width="16.28515625" bestFit="1" customWidth="1"/>
    <col min="6" max="6" width="16.140625" bestFit="1" customWidth="1"/>
    <col min="7" max="7" width="19" customWidth="1"/>
  </cols>
  <sheetData>
    <row r="1" spans="1:11" ht="30" customHeight="1" thickBot="1" x14ac:dyDescent="0.3">
      <c r="A1" s="2"/>
      <c r="B1" s="507" t="s">
        <v>78</v>
      </c>
      <c r="C1" s="538"/>
      <c r="D1" s="539"/>
      <c r="E1" s="3" t="s">
        <v>82</v>
      </c>
      <c r="F1" s="4" t="s">
        <v>175</v>
      </c>
    </row>
    <row r="2" spans="1:11" ht="30" customHeight="1" thickBot="1" x14ac:dyDescent="0.3">
      <c r="A2" s="5"/>
      <c r="B2" s="540"/>
      <c r="C2" s="541"/>
      <c r="D2" s="542"/>
      <c r="E2" s="6" t="s">
        <v>79</v>
      </c>
      <c r="F2" s="7" t="s">
        <v>80</v>
      </c>
    </row>
    <row r="3" spans="1:11" ht="15.75" customHeight="1" thickBot="1" x14ac:dyDescent="0.3">
      <c r="A3" s="513" t="s">
        <v>81</v>
      </c>
      <c r="B3" s="514"/>
      <c r="C3" s="514"/>
      <c r="D3" s="514"/>
      <c r="E3" s="514"/>
      <c r="F3" s="537"/>
    </row>
    <row r="4" spans="1:11" ht="15.75" customHeight="1" thickBot="1" x14ac:dyDescent="0.3">
      <c r="A4" s="8"/>
      <c r="B4" s="9"/>
      <c r="C4" s="9"/>
      <c r="D4" s="56"/>
      <c r="E4" s="119" t="s">
        <v>88</v>
      </c>
      <c r="F4" s="119" t="s">
        <v>177</v>
      </c>
    </row>
    <row r="5" spans="1:11" ht="15.75" thickBot="1" x14ac:dyDescent="0.3"/>
    <row r="6" spans="1:11" ht="45.6" customHeight="1" thickBot="1" x14ac:dyDescent="0.4">
      <c r="A6" s="524" t="s">
        <v>154</v>
      </c>
      <c r="B6" s="525"/>
      <c r="C6" s="525"/>
      <c r="D6" s="525"/>
      <c r="E6" s="525"/>
      <c r="F6" s="525"/>
    </row>
    <row r="7" spans="1:11" ht="15" customHeight="1" thickBot="1" x14ac:dyDescent="0.3"/>
    <row r="8" spans="1:11" s="14" customFormat="1" ht="51.75" customHeight="1" thickBot="1" x14ac:dyDescent="0.3">
      <c r="A8" s="754" t="s">
        <v>155</v>
      </c>
      <c r="B8" s="755"/>
      <c r="C8" s="756"/>
      <c r="D8" s="239" t="s">
        <v>4</v>
      </c>
      <c r="E8" s="239" t="s">
        <v>2</v>
      </c>
      <c r="F8" s="239" t="s">
        <v>3</v>
      </c>
      <c r="G8" s="586"/>
      <c r="H8" s="586"/>
      <c r="I8" s="586"/>
      <c r="J8" s="586"/>
      <c r="K8" s="586"/>
    </row>
    <row r="9" spans="1:11" ht="30" customHeight="1" x14ac:dyDescent="0.25">
      <c r="A9" s="517" t="s">
        <v>156</v>
      </c>
      <c r="B9" s="548"/>
      <c r="C9" s="429">
        <v>2</v>
      </c>
      <c r="D9" s="358">
        <v>1.5</v>
      </c>
      <c r="E9" s="337">
        <f>C9-D9</f>
        <v>0.5</v>
      </c>
      <c r="F9" s="338">
        <f>C9+D9</f>
        <v>3.5</v>
      </c>
      <c r="G9" s="586"/>
      <c r="H9" s="586"/>
      <c r="I9" s="586"/>
      <c r="J9" s="586"/>
      <c r="K9" s="586"/>
    </row>
    <row r="10" spans="1:11" ht="30" customHeight="1" x14ac:dyDescent="0.25">
      <c r="A10" s="519"/>
      <c r="B10" s="549"/>
      <c r="C10" s="430">
        <v>5</v>
      </c>
      <c r="D10" s="235">
        <v>1.5</v>
      </c>
      <c r="E10" s="113">
        <f>C10-D10</f>
        <v>3.5</v>
      </c>
      <c r="F10" s="114">
        <f>C10+D10</f>
        <v>6.5</v>
      </c>
      <c r="G10" s="586"/>
      <c r="H10" s="586"/>
      <c r="I10" s="586"/>
      <c r="J10" s="586"/>
      <c r="K10" s="586"/>
    </row>
    <row r="11" spans="1:11" ht="30" customHeight="1" thickBot="1" x14ac:dyDescent="0.3">
      <c r="A11" s="521"/>
      <c r="B11" s="550"/>
      <c r="C11" s="431">
        <v>8</v>
      </c>
      <c r="D11" s="360">
        <v>1.5</v>
      </c>
      <c r="E11" s="341">
        <f>C11-D11</f>
        <v>6.5</v>
      </c>
      <c r="F11" s="342">
        <f>C11+D11</f>
        <v>9.5</v>
      </c>
      <c r="G11" s="586"/>
      <c r="H11" s="586"/>
      <c r="I11" s="586"/>
      <c r="J11" s="586"/>
      <c r="K11" s="586"/>
    </row>
    <row r="12" spans="1:11" ht="30" hidden="1" customHeight="1" x14ac:dyDescent="0.25">
      <c r="A12" s="517" t="s">
        <v>47</v>
      </c>
      <c r="B12" s="518"/>
      <c r="C12" s="241">
        <v>10</v>
      </c>
      <c r="D12" s="242">
        <v>0.05</v>
      </c>
      <c r="E12" s="242">
        <v>0.05</v>
      </c>
      <c r="F12" s="242">
        <v>0.05</v>
      </c>
      <c r="G12" s="586"/>
      <c r="H12" s="586"/>
      <c r="I12" s="586"/>
      <c r="J12" s="586"/>
      <c r="K12" s="586"/>
    </row>
    <row r="13" spans="1:11" ht="30" hidden="1" customHeight="1" x14ac:dyDescent="0.25">
      <c r="A13" s="519"/>
      <c r="B13" s="520"/>
      <c r="C13" s="243">
        <v>25</v>
      </c>
      <c r="D13" s="92">
        <v>0.05</v>
      </c>
      <c r="E13" s="92">
        <v>0.05</v>
      </c>
      <c r="F13" s="92">
        <v>0.05</v>
      </c>
      <c r="G13" s="586"/>
      <c r="H13" s="586"/>
      <c r="I13" s="586"/>
      <c r="J13" s="586"/>
      <c r="K13" s="586"/>
    </row>
    <row r="14" spans="1:11" ht="30" hidden="1" customHeight="1" thickBot="1" x14ac:dyDescent="0.3">
      <c r="A14" s="521"/>
      <c r="B14" s="522"/>
      <c r="C14" s="244">
        <v>50</v>
      </c>
      <c r="D14" s="65">
        <v>0.05</v>
      </c>
      <c r="E14" s="65">
        <v>0.05</v>
      </c>
      <c r="F14" s="65">
        <v>0.05</v>
      </c>
      <c r="G14" s="586"/>
      <c r="H14" s="586"/>
      <c r="I14" s="586"/>
      <c r="J14" s="586"/>
      <c r="K14" s="586"/>
    </row>
    <row r="15" spans="1:11" ht="30" customHeight="1" thickBot="1" x14ac:dyDescent="0.3">
      <c r="A15" s="28"/>
      <c r="B15" s="240"/>
      <c r="C15" s="245"/>
      <c r="D15" s="246"/>
      <c r="E15" s="246"/>
      <c r="F15" s="246"/>
      <c r="G15" s="178"/>
      <c r="H15" s="178"/>
      <c r="I15" s="178"/>
      <c r="J15" s="178"/>
      <c r="K15" s="178"/>
    </row>
    <row r="16" spans="1:11" s="14" customFormat="1" ht="54" customHeight="1" thickBot="1" x14ac:dyDescent="0.3">
      <c r="A16" s="757" t="s">
        <v>157</v>
      </c>
      <c r="B16" s="758"/>
      <c r="C16" s="759"/>
      <c r="D16" s="194" t="s">
        <v>4</v>
      </c>
      <c r="E16" s="194" t="s">
        <v>2</v>
      </c>
      <c r="F16" s="194" t="s">
        <v>3</v>
      </c>
      <c r="G16" s="178"/>
      <c r="H16" s="178"/>
      <c r="I16" s="178"/>
      <c r="J16" s="178"/>
      <c r="K16" s="178"/>
    </row>
    <row r="17" spans="1:11" ht="30" customHeight="1" x14ac:dyDescent="0.25">
      <c r="A17" s="501" t="s">
        <v>156</v>
      </c>
      <c r="B17" s="752"/>
      <c r="C17" s="426">
        <v>20</v>
      </c>
      <c r="D17" s="358">
        <v>1.5</v>
      </c>
      <c r="E17" s="337">
        <f>C17-D17</f>
        <v>18.5</v>
      </c>
      <c r="F17" s="338">
        <f>C17+D17</f>
        <v>21.5</v>
      </c>
      <c r="G17" s="178"/>
      <c r="H17" s="178"/>
      <c r="I17" s="178"/>
      <c r="J17" s="178"/>
      <c r="K17" s="178"/>
    </row>
    <row r="18" spans="1:11" ht="30" customHeight="1" x14ac:dyDescent="0.25">
      <c r="A18" s="503"/>
      <c r="B18" s="753"/>
      <c r="C18" s="427">
        <v>25</v>
      </c>
      <c r="D18" s="235">
        <v>1.5</v>
      </c>
      <c r="E18" s="113">
        <f>C18-D18</f>
        <v>23.5</v>
      </c>
      <c r="F18" s="114">
        <f>C18+D18</f>
        <v>26.5</v>
      </c>
      <c r="G18" s="178"/>
      <c r="H18" s="178"/>
      <c r="I18" s="178"/>
      <c r="J18" s="178"/>
      <c r="K18" s="178"/>
    </row>
    <row r="19" spans="1:11" ht="30" customHeight="1" thickBot="1" x14ac:dyDescent="0.3">
      <c r="A19" s="505"/>
      <c r="B19" s="760"/>
      <c r="C19" s="428">
        <v>30</v>
      </c>
      <c r="D19" s="360">
        <v>1.5</v>
      </c>
      <c r="E19" s="341">
        <f>C19-D19</f>
        <v>28.5</v>
      </c>
      <c r="F19" s="342">
        <f>C19+D19</f>
        <v>31.5</v>
      </c>
      <c r="G19" s="178"/>
      <c r="H19" s="178"/>
      <c r="I19" s="178"/>
      <c r="J19" s="178"/>
      <c r="K19" s="178"/>
    </row>
    <row r="20" spans="1:11" ht="30" hidden="1" customHeight="1" x14ac:dyDescent="0.25">
      <c r="A20" s="519" t="s">
        <v>47</v>
      </c>
      <c r="B20" s="520"/>
      <c r="C20" s="248">
        <v>1</v>
      </c>
      <c r="D20" s="249">
        <v>0.1</v>
      </c>
      <c r="E20" s="249">
        <v>0.1</v>
      </c>
      <c r="F20" s="249">
        <v>0.1</v>
      </c>
    </row>
    <row r="21" spans="1:11" ht="30" hidden="1" customHeight="1" x14ac:dyDescent="0.25">
      <c r="A21" s="519"/>
      <c r="B21" s="520"/>
      <c r="C21" s="250">
        <v>5</v>
      </c>
      <c r="D21" s="242">
        <v>0.1</v>
      </c>
      <c r="E21" s="242">
        <v>0.1</v>
      </c>
      <c r="F21" s="242">
        <v>0.1</v>
      </c>
    </row>
    <row r="22" spans="1:11" ht="30" hidden="1" customHeight="1" thickBot="1" x14ac:dyDescent="0.3">
      <c r="A22" s="521"/>
      <c r="B22" s="522"/>
      <c r="C22" s="251">
        <v>15</v>
      </c>
      <c r="D22" s="252">
        <v>0.1</v>
      </c>
      <c r="E22" s="252">
        <v>0.1</v>
      </c>
      <c r="F22" s="252">
        <v>0.1</v>
      </c>
    </row>
    <row r="23" spans="1:11" ht="15" customHeight="1" x14ac:dyDescent="0.25"/>
  </sheetData>
  <mergeCells count="10">
    <mergeCell ref="G8:K14"/>
    <mergeCell ref="A9:B11"/>
    <mergeCell ref="A12:B14"/>
    <mergeCell ref="A16:C16"/>
    <mergeCell ref="A17:B19"/>
    <mergeCell ref="A20:B22"/>
    <mergeCell ref="B1:D2"/>
    <mergeCell ref="A3:F3"/>
    <mergeCell ref="A6:F6"/>
    <mergeCell ref="A8:C8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9ACA-0645-485D-A6D8-02CE37D6529E}">
  <sheetPr>
    <tabColor rgb="FFFFC000"/>
  </sheetPr>
  <dimension ref="A1:K28"/>
  <sheetViews>
    <sheetView showGridLines="0" zoomScale="80" zoomScaleNormal="80" zoomScaleSheetLayoutView="100" workbookViewId="0">
      <selection activeCell="J4" sqref="J4"/>
    </sheetView>
  </sheetViews>
  <sheetFormatPr defaultRowHeight="15" x14ac:dyDescent="0.25"/>
  <cols>
    <col min="1" max="1" width="23.5703125" customWidth="1"/>
    <col min="2" max="2" width="18.7109375" customWidth="1"/>
    <col min="3" max="4" width="13.28515625" customWidth="1"/>
    <col min="5" max="5" width="16.28515625" bestFit="1" customWidth="1"/>
    <col min="6" max="6" width="16.5703125" bestFit="1" customWidth="1"/>
    <col min="7" max="7" width="19" customWidth="1"/>
  </cols>
  <sheetData>
    <row r="1" spans="1:11" ht="30" customHeight="1" thickBot="1" x14ac:dyDescent="0.3">
      <c r="A1" s="2"/>
      <c r="B1" s="507" t="s">
        <v>78</v>
      </c>
      <c r="C1" s="538"/>
      <c r="D1" s="539"/>
      <c r="E1" s="3" t="s">
        <v>82</v>
      </c>
      <c r="F1" s="4" t="s">
        <v>175</v>
      </c>
    </row>
    <row r="2" spans="1:11" ht="30" customHeight="1" thickBot="1" x14ac:dyDescent="0.3">
      <c r="A2" s="5"/>
      <c r="B2" s="540"/>
      <c r="C2" s="541"/>
      <c r="D2" s="542"/>
      <c r="E2" s="6" t="s">
        <v>79</v>
      </c>
      <c r="F2" s="7" t="s">
        <v>80</v>
      </c>
    </row>
    <row r="3" spans="1:11" ht="15.75" customHeight="1" thickBot="1" x14ac:dyDescent="0.3">
      <c r="A3" s="513" t="s">
        <v>81</v>
      </c>
      <c r="B3" s="514"/>
      <c r="C3" s="514"/>
      <c r="D3" s="514"/>
      <c r="E3" s="514"/>
      <c r="F3" s="537"/>
    </row>
    <row r="4" spans="1:11" ht="15.75" customHeight="1" thickBot="1" x14ac:dyDescent="0.3">
      <c r="A4" s="8"/>
      <c r="B4" s="9"/>
      <c r="C4" s="9"/>
      <c r="D4" s="56"/>
      <c r="E4" s="119" t="s">
        <v>88</v>
      </c>
      <c r="F4" s="119" t="s">
        <v>177</v>
      </c>
    </row>
    <row r="5" spans="1:11" ht="15.75" thickBot="1" x14ac:dyDescent="0.3"/>
    <row r="6" spans="1:11" ht="45.6" customHeight="1" thickBot="1" x14ac:dyDescent="0.4">
      <c r="A6" s="524" t="s">
        <v>95</v>
      </c>
      <c r="B6" s="525"/>
      <c r="C6" s="525"/>
      <c r="D6" s="525"/>
      <c r="E6" s="525"/>
      <c r="F6" s="525"/>
    </row>
    <row r="7" spans="1:11" ht="15" customHeight="1" thickBot="1" x14ac:dyDescent="0.3"/>
    <row r="8" spans="1:11" s="14" customFormat="1" ht="51.75" customHeight="1" thickBot="1" x14ac:dyDescent="0.3">
      <c r="A8" s="754" t="s">
        <v>85</v>
      </c>
      <c r="B8" s="755"/>
      <c r="C8" s="756"/>
      <c r="D8" s="239" t="s">
        <v>4</v>
      </c>
      <c r="E8" s="239" t="s">
        <v>2</v>
      </c>
      <c r="F8" s="239" t="s">
        <v>3</v>
      </c>
      <c r="G8" s="586"/>
      <c r="H8" s="586"/>
      <c r="I8" s="586"/>
      <c r="J8" s="586"/>
      <c r="K8" s="586"/>
    </row>
    <row r="9" spans="1:11" ht="30" customHeight="1" x14ac:dyDescent="0.25">
      <c r="A9" s="517" t="s">
        <v>48</v>
      </c>
      <c r="B9" s="548"/>
      <c r="C9" s="429">
        <v>30</v>
      </c>
      <c r="D9" s="110">
        <v>0.05</v>
      </c>
      <c r="E9" s="17">
        <f>C9*(1-D9)</f>
        <v>28.5</v>
      </c>
      <c r="F9" s="18">
        <f>C9*(1+D9)</f>
        <v>31.5</v>
      </c>
      <c r="G9" s="586"/>
      <c r="H9" s="586"/>
      <c r="I9" s="586"/>
      <c r="J9" s="586"/>
      <c r="K9" s="586"/>
    </row>
    <row r="10" spans="1:11" ht="30" customHeight="1" x14ac:dyDescent="0.25">
      <c r="A10" s="519"/>
      <c r="B10" s="549"/>
      <c r="C10" s="430">
        <v>50</v>
      </c>
      <c r="D10" s="64">
        <v>0.05</v>
      </c>
      <c r="E10" s="22">
        <f t="shared" ref="E10:E11" si="0">C10*(1-D10)</f>
        <v>47.5</v>
      </c>
      <c r="F10" s="23">
        <f t="shared" ref="F10:F11" si="1">C10*(1+D10)</f>
        <v>52.5</v>
      </c>
      <c r="G10" s="586"/>
      <c r="H10" s="586"/>
      <c r="I10" s="586"/>
      <c r="J10" s="586"/>
      <c r="K10" s="586"/>
    </row>
    <row r="11" spans="1:11" ht="30" customHeight="1" thickBot="1" x14ac:dyDescent="0.3">
      <c r="A11" s="521"/>
      <c r="B11" s="550"/>
      <c r="C11" s="431">
        <v>100</v>
      </c>
      <c r="D11" s="101">
        <v>0.05</v>
      </c>
      <c r="E11" s="31">
        <f t="shared" si="0"/>
        <v>95</v>
      </c>
      <c r="F11" s="32">
        <f t="shared" si="1"/>
        <v>105</v>
      </c>
      <c r="G11" s="586"/>
      <c r="H11" s="586"/>
      <c r="I11" s="586"/>
      <c r="J11" s="586"/>
      <c r="K11" s="586"/>
    </row>
    <row r="12" spans="1:11" ht="30" hidden="1" customHeight="1" x14ac:dyDescent="0.25">
      <c r="A12" s="517" t="s">
        <v>47</v>
      </c>
      <c r="B12" s="518"/>
      <c r="C12" s="241">
        <v>10</v>
      </c>
      <c r="D12" s="242">
        <v>0.05</v>
      </c>
      <c r="E12" s="242">
        <v>0.05</v>
      </c>
      <c r="F12" s="242">
        <v>0.05</v>
      </c>
      <c r="G12" s="586"/>
      <c r="H12" s="586"/>
      <c r="I12" s="586"/>
      <c r="J12" s="586"/>
      <c r="K12" s="586"/>
    </row>
    <row r="13" spans="1:11" ht="30" hidden="1" customHeight="1" x14ac:dyDescent="0.25">
      <c r="A13" s="519"/>
      <c r="B13" s="520"/>
      <c r="C13" s="243">
        <v>25</v>
      </c>
      <c r="D13" s="92">
        <v>0.05</v>
      </c>
      <c r="E13" s="92">
        <v>0.05</v>
      </c>
      <c r="F13" s="92">
        <v>0.05</v>
      </c>
      <c r="G13" s="586"/>
      <c r="H13" s="586"/>
      <c r="I13" s="586"/>
      <c r="J13" s="586"/>
      <c r="K13" s="586"/>
    </row>
    <row r="14" spans="1:11" ht="30" hidden="1" customHeight="1" thickBot="1" x14ac:dyDescent="0.3">
      <c r="A14" s="521"/>
      <c r="B14" s="522"/>
      <c r="C14" s="244">
        <v>50</v>
      </c>
      <c r="D14" s="65">
        <v>0.05</v>
      </c>
      <c r="E14" s="65">
        <v>0.05</v>
      </c>
      <c r="F14" s="65">
        <v>0.05</v>
      </c>
      <c r="G14" s="586"/>
      <c r="H14" s="586"/>
      <c r="I14" s="586"/>
      <c r="J14" s="586"/>
      <c r="K14" s="586"/>
    </row>
    <row r="15" spans="1:11" ht="30" customHeight="1" thickBot="1" x14ac:dyDescent="0.3">
      <c r="A15" s="28"/>
      <c r="B15" s="240"/>
      <c r="C15" s="245"/>
      <c r="D15" s="246"/>
      <c r="E15" s="246"/>
      <c r="F15" s="246"/>
      <c r="G15" s="178"/>
      <c r="H15" s="178"/>
      <c r="I15" s="178"/>
      <c r="J15" s="178"/>
      <c r="K15" s="178"/>
    </row>
    <row r="16" spans="1:11" s="14" customFormat="1" ht="54" customHeight="1" thickBot="1" x14ac:dyDescent="0.3">
      <c r="A16" s="757" t="s">
        <v>86</v>
      </c>
      <c r="B16" s="758"/>
      <c r="C16" s="759"/>
      <c r="D16" s="194" t="s">
        <v>4</v>
      </c>
      <c r="E16" s="194" t="s">
        <v>2</v>
      </c>
      <c r="F16" s="194" t="s">
        <v>3</v>
      </c>
      <c r="G16" s="178"/>
      <c r="H16" s="178"/>
      <c r="I16" s="178"/>
      <c r="J16" s="178"/>
      <c r="K16" s="178"/>
    </row>
    <row r="17" spans="1:11" ht="30" customHeight="1" x14ac:dyDescent="0.25">
      <c r="A17" s="501" t="s">
        <v>48</v>
      </c>
      <c r="B17" s="752"/>
      <c r="C17" s="426">
        <v>30</v>
      </c>
      <c r="D17" s="276">
        <v>0.1</v>
      </c>
      <c r="E17" s="318">
        <f>C17*(1-D17)</f>
        <v>27</v>
      </c>
      <c r="F17" s="319">
        <f>C17*(1+D17)</f>
        <v>33</v>
      </c>
      <c r="G17" s="178"/>
      <c r="H17" s="178"/>
      <c r="I17" s="178"/>
      <c r="J17" s="178"/>
      <c r="K17" s="178"/>
    </row>
    <row r="18" spans="1:11" ht="30" customHeight="1" x14ac:dyDescent="0.25">
      <c r="A18" s="503"/>
      <c r="B18" s="753"/>
      <c r="C18" s="427">
        <v>50</v>
      </c>
      <c r="D18" s="64">
        <v>0.1</v>
      </c>
      <c r="E18" s="280">
        <f>C18*(1-D18)</f>
        <v>45</v>
      </c>
      <c r="F18" s="281">
        <f>C18*(1+D18)</f>
        <v>55.000000000000007</v>
      </c>
      <c r="G18" s="178"/>
      <c r="H18" s="178"/>
      <c r="I18" s="178"/>
      <c r="J18" s="178"/>
      <c r="K18" s="178"/>
    </row>
    <row r="19" spans="1:11" ht="30" customHeight="1" thickBot="1" x14ac:dyDescent="0.3">
      <c r="A19" s="505"/>
      <c r="B19" s="760"/>
      <c r="C19" s="428">
        <v>100</v>
      </c>
      <c r="D19" s="256">
        <v>0.1</v>
      </c>
      <c r="E19" s="304">
        <f>C19*(1-D19)</f>
        <v>90</v>
      </c>
      <c r="F19" s="305">
        <f>C19*(1+D19)</f>
        <v>110.00000000000001</v>
      </c>
      <c r="G19" s="178"/>
      <c r="H19" s="178"/>
      <c r="I19" s="178"/>
      <c r="J19" s="178"/>
      <c r="K19" s="178"/>
    </row>
    <row r="20" spans="1:11" ht="15" customHeight="1" thickBot="1" x14ac:dyDescent="0.3"/>
    <row r="21" spans="1:11" ht="54" customHeight="1" thickBot="1" x14ac:dyDescent="0.3">
      <c r="A21" s="761" t="s">
        <v>87</v>
      </c>
      <c r="B21" s="762"/>
      <c r="C21" s="763"/>
      <c r="D21" s="381" t="s">
        <v>4</v>
      </c>
      <c r="E21" s="381" t="s">
        <v>2</v>
      </c>
      <c r="F21" s="381" t="s">
        <v>3</v>
      </c>
    </row>
    <row r="22" spans="1:11" ht="30" customHeight="1" x14ac:dyDescent="0.25">
      <c r="A22" s="517" t="s">
        <v>48</v>
      </c>
      <c r="B22" s="548"/>
      <c r="C22" s="432">
        <v>5</v>
      </c>
      <c r="D22" s="89">
        <v>7.0000000000000007E-2</v>
      </c>
      <c r="E22" s="329">
        <f>C22*(1-D22)</f>
        <v>4.6499999999999995</v>
      </c>
      <c r="F22" s="330">
        <f>C22*(1+D22)</f>
        <v>5.35</v>
      </c>
    </row>
    <row r="23" spans="1:11" ht="30" customHeight="1" x14ac:dyDescent="0.25">
      <c r="A23" s="519"/>
      <c r="B23" s="549"/>
      <c r="C23" s="433">
        <v>10</v>
      </c>
      <c r="D23" s="380">
        <v>7.0000000000000007E-2</v>
      </c>
      <c r="E23" s="277">
        <f>C23*(1-D23)</f>
        <v>9.2999999999999989</v>
      </c>
      <c r="F23" s="278">
        <f>C23*(1+D23)</f>
        <v>10.7</v>
      </c>
    </row>
    <row r="24" spans="1:11" ht="30" customHeight="1" thickBot="1" x14ac:dyDescent="0.3">
      <c r="A24" s="521"/>
      <c r="B24" s="550"/>
      <c r="C24" s="434">
        <v>30</v>
      </c>
      <c r="D24" s="98">
        <v>7.0000000000000007E-2</v>
      </c>
      <c r="E24" s="335">
        <f>C24*(1-D24)</f>
        <v>27.9</v>
      </c>
      <c r="F24" s="336">
        <f>C24*(1+D24)</f>
        <v>32.1</v>
      </c>
    </row>
    <row r="25" spans="1:11" ht="30" hidden="1" customHeight="1" x14ac:dyDescent="0.25">
      <c r="A25" s="519" t="s">
        <v>47</v>
      </c>
      <c r="B25" s="520"/>
      <c r="C25" s="248">
        <v>1</v>
      </c>
      <c r="D25" s="249">
        <v>0.1</v>
      </c>
      <c r="E25" s="249">
        <v>0.1</v>
      </c>
      <c r="F25" s="249">
        <v>0.1</v>
      </c>
    </row>
    <row r="26" spans="1:11" ht="30" hidden="1" customHeight="1" x14ac:dyDescent="0.25">
      <c r="A26" s="519"/>
      <c r="B26" s="520"/>
      <c r="C26" s="250">
        <v>5</v>
      </c>
      <c r="D26" s="242">
        <v>0.1</v>
      </c>
      <c r="E26" s="242">
        <v>0.1</v>
      </c>
      <c r="F26" s="242">
        <v>0.1</v>
      </c>
    </row>
    <row r="27" spans="1:11" ht="30" hidden="1" customHeight="1" thickBot="1" x14ac:dyDescent="0.3">
      <c r="A27" s="521"/>
      <c r="B27" s="522"/>
      <c r="C27" s="251">
        <v>15</v>
      </c>
      <c r="D27" s="252">
        <v>0.1</v>
      </c>
      <c r="E27" s="252">
        <v>0.1</v>
      </c>
      <c r="F27" s="252">
        <v>0.1</v>
      </c>
    </row>
    <row r="28" spans="1:11" ht="15" customHeight="1" x14ac:dyDescent="0.25"/>
  </sheetData>
  <mergeCells count="12">
    <mergeCell ref="A21:C21"/>
    <mergeCell ref="A22:B24"/>
    <mergeCell ref="A25:B27"/>
    <mergeCell ref="A16:C16"/>
    <mergeCell ref="A17:B19"/>
    <mergeCell ref="A8:C8"/>
    <mergeCell ref="A9:B11"/>
    <mergeCell ref="G8:K14"/>
    <mergeCell ref="A12:B14"/>
    <mergeCell ref="B1:D2"/>
    <mergeCell ref="A3:F3"/>
    <mergeCell ref="A6:F6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C640A-77AF-414A-804B-F3BA61DA402C}">
  <sheetPr>
    <tabColor rgb="FFFFC000"/>
    <pageSetUpPr fitToPage="1"/>
  </sheetPr>
  <dimension ref="A1:Q28"/>
  <sheetViews>
    <sheetView showGridLines="0" topLeftCell="B1" zoomScale="80" zoomScaleNormal="80" zoomScaleSheetLayoutView="100" workbookViewId="0">
      <selection activeCell="P4" sqref="P4"/>
    </sheetView>
  </sheetViews>
  <sheetFormatPr defaultRowHeight="15" x14ac:dyDescent="0.25"/>
  <cols>
    <col min="1" max="1" width="19.7109375" customWidth="1"/>
    <col min="2" max="2" width="30.7109375" customWidth="1"/>
    <col min="3" max="4" width="13.28515625" customWidth="1"/>
    <col min="5" max="5" width="18.85546875" bestFit="1" customWidth="1"/>
    <col min="6" max="6" width="18.28515625" bestFit="1" customWidth="1"/>
    <col min="9" max="9" width="15.5703125" customWidth="1"/>
    <col min="10" max="10" width="13" customWidth="1"/>
    <col min="11" max="11" width="11.85546875" customWidth="1"/>
    <col min="12" max="12" width="19.28515625" bestFit="1" customWidth="1"/>
    <col min="13" max="13" width="18.5703125" bestFit="1" customWidth="1"/>
  </cols>
  <sheetData>
    <row r="1" spans="1:17" ht="30" customHeight="1" thickBot="1" x14ac:dyDescent="0.3">
      <c r="A1" s="2"/>
      <c r="B1" s="618" t="s">
        <v>78</v>
      </c>
      <c r="C1" s="619"/>
      <c r="D1" s="619"/>
      <c r="E1" s="619"/>
      <c r="F1" s="619"/>
      <c r="G1" s="619"/>
      <c r="H1" s="619"/>
      <c r="I1" s="619"/>
      <c r="J1" s="619"/>
      <c r="K1" s="620"/>
      <c r="L1" s="3" t="s">
        <v>82</v>
      </c>
      <c r="M1" s="4" t="s">
        <v>175</v>
      </c>
    </row>
    <row r="2" spans="1:17" ht="30" customHeight="1" thickBot="1" x14ac:dyDescent="0.3">
      <c r="A2" s="5"/>
      <c r="B2" s="618"/>
      <c r="C2" s="619"/>
      <c r="D2" s="619"/>
      <c r="E2" s="619"/>
      <c r="F2" s="619"/>
      <c r="G2" s="619"/>
      <c r="H2" s="619"/>
      <c r="I2" s="619"/>
      <c r="J2" s="619"/>
      <c r="K2" s="620"/>
      <c r="L2" s="6" t="s">
        <v>79</v>
      </c>
      <c r="M2" s="7" t="s">
        <v>80</v>
      </c>
    </row>
    <row r="3" spans="1:17" ht="15.75" customHeight="1" thickBot="1" x14ac:dyDescent="0.3">
      <c r="A3" s="513" t="s">
        <v>81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37"/>
    </row>
    <row r="4" spans="1:17" ht="15.75" customHeight="1" thickBot="1" x14ac:dyDescent="0.3">
      <c r="A4" s="120"/>
      <c r="B4" s="387"/>
      <c r="C4" s="387"/>
      <c r="D4" s="387"/>
      <c r="E4" s="387"/>
      <c r="F4" s="387"/>
      <c r="G4" s="387"/>
      <c r="H4" s="387"/>
      <c r="I4" s="387"/>
      <c r="J4" s="387"/>
      <c r="K4" s="7"/>
      <c r="L4" s="389" t="s">
        <v>88</v>
      </c>
      <c r="M4" s="389" t="s">
        <v>177</v>
      </c>
    </row>
    <row r="5" spans="1:17" ht="15.75" thickBot="1" x14ac:dyDescent="0.3">
      <c r="A5" s="416"/>
      <c r="B5" s="417"/>
      <c r="C5" s="417"/>
      <c r="D5" s="417"/>
      <c r="E5" s="417"/>
      <c r="F5" s="417"/>
      <c r="G5" s="417"/>
      <c r="H5" s="417"/>
      <c r="I5" s="417"/>
      <c r="J5" s="417"/>
      <c r="K5" s="417"/>
      <c r="L5" s="417"/>
      <c r="M5" s="418"/>
    </row>
    <row r="6" spans="1:17" ht="47.25" customHeight="1" thickBot="1" x14ac:dyDescent="0.3">
      <c r="A6" s="738" t="s">
        <v>94</v>
      </c>
      <c r="B6" s="739"/>
      <c r="C6" s="739"/>
      <c r="D6" s="739"/>
      <c r="E6" s="739"/>
      <c r="F6" s="739"/>
      <c r="G6" s="739"/>
      <c r="H6" s="739"/>
      <c r="I6" s="739"/>
      <c r="J6" s="739"/>
      <c r="K6" s="739"/>
      <c r="L6" s="739"/>
      <c r="M6" s="740"/>
    </row>
    <row r="7" spans="1:17" ht="15" customHeight="1" thickBot="1" x14ac:dyDescent="0.3"/>
    <row r="8" spans="1:17" s="14" customFormat="1" ht="50.25" customHeight="1" thickBot="1" x14ac:dyDescent="0.3">
      <c r="A8" s="764" t="s">
        <v>61</v>
      </c>
      <c r="B8" s="765"/>
      <c r="C8" s="766"/>
      <c r="D8" s="231" t="s">
        <v>4</v>
      </c>
      <c r="E8" s="231" t="s">
        <v>2</v>
      </c>
      <c r="F8" s="231" t="s">
        <v>3</v>
      </c>
      <c r="H8" s="764" t="s">
        <v>144</v>
      </c>
      <c r="I8" s="765"/>
      <c r="J8" s="766"/>
      <c r="K8" s="231" t="s">
        <v>4</v>
      </c>
      <c r="L8" s="231" t="s">
        <v>2</v>
      </c>
      <c r="M8" s="231" t="s">
        <v>3</v>
      </c>
      <c r="N8" s="415"/>
      <c r="O8" s="415"/>
      <c r="P8" s="415"/>
      <c r="Q8" s="415"/>
    </row>
    <row r="9" spans="1:17" ht="30" customHeight="1" x14ac:dyDescent="0.25">
      <c r="A9" s="517" t="s">
        <v>71</v>
      </c>
      <c r="B9" s="518"/>
      <c r="C9" s="15">
        <v>300</v>
      </c>
      <c r="D9" s="49">
        <v>0.1</v>
      </c>
      <c r="E9" s="17">
        <f>C9*(1-D9)</f>
        <v>270</v>
      </c>
      <c r="F9" s="18">
        <f>C9*(1+D9)</f>
        <v>330</v>
      </c>
      <c r="H9" s="517" t="s">
        <v>142</v>
      </c>
      <c r="I9" s="518"/>
      <c r="J9" s="328">
        <v>21</v>
      </c>
      <c r="K9" s="374">
        <v>0.05</v>
      </c>
      <c r="L9" s="329">
        <f t="shared" ref="L9:L10" si="0">J9*(1-K9)</f>
        <v>19.95</v>
      </c>
      <c r="M9" s="330">
        <f t="shared" ref="M9:M13" si="1">J9*(1+K9)</f>
        <v>22.05</v>
      </c>
      <c r="N9" s="415"/>
      <c r="O9" s="415"/>
      <c r="P9" s="415"/>
      <c r="Q9" s="415"/>
    </row>
    <row r="10" spans="1:17" ht="30" customHeight="1" x14ac:dyDescent="0.25">
      <c r="A10" s="519"/>
      <c r="B10" s="520"/>
      <c r="C10" s="20">
        <v>500</v>
      </c>
      <c r="D10" s="51">
        <v>0.1</v>
      </c>
      <c r="E10" s="22">
        <f t="shared" ref="E10:E27" si="2">C10*(1-D10)</f>
        <v>450</v>
      </c>
      <c r="F10" s="23">
        <f t="shared" ref="F10:F27" si="3">C10*(1+D10)</f>
        <v>550</v>
      </c>
      <c r="H10" s="519"/>
      <c r="I10" s="520"/>
      <c r="J10" s="270">
        <v>40</v>
      </c>
      <c r="K10" s="371">
        <v>0.05</v>
      </c>
      <c r="L10" s="277">
        <f t="shared" si="0"/>
        <v>38</v>
      </c>
      <c r="M10" s="278">
        <f t="shared" si="1"/>
        <v>42</v>
      </c>
      <c r="N10" s="415"/>
      <c r="O10" s="415"/>
      <c r="P10" s="415"/>
      <c r="Q10" s="415"/>
    </row>
    <row r="11" spans="1:17" ht="30" customHeight="1" thickBot="1" x14ac:dyDescent="0.3">
      <c r="A11" s="521"/>
      <c r="B11" s="522"/>
      <c r="C11" s="79">
        <v>800</v>
      </c>
      <c r="D11" s="53">
        <v>0.1</v>
      </c>
      <c r="E11" s="31">
        <f t="shared" si="2"/>
        <v>720</v>
      </c>
      <c r="F11" s="32">
        <f t="shared" si="3"/>
        <v>880.00000000000011</v>
      </c>
      <c r="H11" s="519"/>
      <c r="I11" s="520"/>
      <c r="J11" s="279">
        <v>60</v>
      </c>
      <c r="K11" s="373">
        <v>0.05</v>
      </c>
      <c r="L11" s="280">
        <f>J11*(1-K11)</f>
        <v>57</v>
      </c>
      <c r="M11" s="281">
        <f t="shared" si="1"/>
        <v>63</v>
      </c>
      <c r="N11" s="415"/>
      <c r="O11" s="415"/>
      <c r="P11" s="415"/>
      <c r="Q11" s="415"/>
    </row>
    <row r="12" spans="1:17" ht="30" customHeight="1" x14ac:dyDescent="0.25">
      <c r="A12" s="517" t="s">
        <v>117</v>
      </c>
      <c r="B12" s="518"/>
      <c r="C12" s="294">
        <v>10</v>
      </c>
      <c r="D12" s="370">
        <v>0.1</v>
      </c>
      <c r="E12" s="318">
        <f t="shared" si="2"/>
        <v>9</v>
      </c>
      <c r="F12" s="319">
        <f t="shared" si="3"/>
        <v>11</v>
      </c>
      <c r="H12" s="519"/>
      <c r="I12" s="520"/>
      <c r="J12" s="270">
        <v>80</v>
      </c>
      <c r="K12" s="371">
        <v>0.05</v>
      </c>
      <c r="L12" s="277">
        <f t="shared" ref="L12:L13" si="4">J12*(1-K12)</f>
        <v>76</v>
      </c>
      <c r="M12" s="278">
        <f t="shared" si="1"/>
        <v>84</v>
      </c>
      <c r="N12" s="415"/>
      <c r="O12" s="415"/>
      <c r="P12" s="415"/>
      <c r="Q12" s="415"/>
    </row>
    <row r="13" spans="1:17" ht="30" customHeight="1" thickBot="1" x14ac:dyDescent="0.3">
      <c r="A13" s="519"/>
      <c r="B13" s="520"/>
      <c r="C13" s="279">
        <v>20</v>
      </c>
      <c r="D13" s="373">
        <v>0.1</v>
      </c>
      <c r="E13" s="280">
        <f t="shared" si="2"/>
        <v>18</v>
      </c>
      <c r="F13" s="281">
        <f t="shared" si="3"/>
        <v>22</v>
      </c>
      <c r="H13" s="521"/>
      <c r="I13" s="522"/>
      <c r="J13" s="365">
        <v>100</v>
      </c>
      <c r="K13" s="379">
        <v>0.05</v>
      </c>
      <c r="L13" s="335">
        <f t="shared" si="4"/>
        <v>95</v>
      </c>
      <c r="M13" s="336">
        <f t="shared" si="1"/>
        <v>105</v>
      </c>
      <c r="N13" s="415"/>
      <c r="O13" s="415"/>
      <c r="P13" s="415"/>
      <c r="Q13" s="415"/>
    </row>
    <row r="14" spans="1:17" ht="30" customHeight="1" thickBot="1" x14ac:dyDescent="0.3">
      <c r="A14" s="521"/>
      <c r="B14" s="522"/>
      <c r="C14" s="255">
        <v>30</v>
      </c>
      <c r="D14" s="372">
        <v>0.1</v>
      </c>
      <c r="E14" s="304">
        <f t="shared" si="2"/>
        <v>27</v>
      </c>
      <c r="F14" s="305">
        <f t="shared" si="3"/>
        <v>33</v>
      </c>
      <c r="I14" s="415"/>
      <c r="J14" s="415"/>
      <c r="K14" s="415"/>
      <c r="L14" s="415"/>
      <c r="M14" s="415"/>
      <c r="N14" s="415"/>
      <c r="O14" s="415"/>
      <c r="P14" s="415"/>
      <c r="Q14" s="415"/>
    </row>
    <row r="15" spans="1:17" ht="30" customHeight="1" x14ac:dyDescent="0.25">
      <c r="A15" s="517" t="s">
        <v>62</v>
      </c>
      <c r="B15" s="518"/>
      <c r="C15" s="328">
        <v>10</v>
      </c>
      <c r="D15" s="374">
        <v>0.15</v>
      </c>
      <c r="E15" s="329">
        <f t="shared" si="2"/>
        <v>8.5</v>
      </c>
      <c r="F15" s="330">
        <f t="shared" si="3"/>
        <v>11.5</v>
      </c>
      <c r="I15" s="415"/>
      <c r="J15" s="415"/>
      <c r="K15" s="415"/>
      <c r="L15" s="415"/>
      <c r="M15" s="415"/>
      <c r="N15" s="415"/>
      <c r="O15" s="415"/>
      <c r="P15" s="415"/>
      <c r="Q15" s="415"/>
    </row>
    <row r="16" spans="1:17" ht="30" customHeight="1" x14ac:dyDescent="0.25">
      <c r="A16" s="519"/>
      <c r="B16" s="520"/>
      <c r="C16" s="270">
        <v>20</v>
      </c>
      <c r="D16" s="371">
        <v>0.15</v>
      </c>
      <c r="E16" s="277">
        <f>C16*(1-D16)</f>
        <v>17</v>
      </c>
      <c r="F16" s="278">
        <f t="shared" si="3"/>
        <v>23</v>
      </c>
    </row>
    <row r="17" spans="1:6" ht="30" customHeight="1" thickBot="1" x14ac:dyDescent="0.3">
      <c r="A17" s="521"/>
      <c r="B17" s="522"/>
      <c r="C17" s="375">
        <v>30</v>
      </c>
      <c r="D17" s="376">
        <v>0.15</v>
      </c>
      <c r="E17" s="377">
        <f t="shared" si="2"/>
        <v>25.5</v>
      </c>
      <c r="F17" s="378">
        <f t="shared" si="3"/>
        <v>34.5</v>
      </c>
    </row>
    <row r="18" spans="1:6" ht="30" customHeight="1" x14ac:dyDescent="0.25">
      <c r="A18" s="517" t="s">
        <v>63</v>
      </c>
      <c r="B18" s="518"/>
      <c r="C18" s="294">
        <v>3</v>
      </c>
      <c r="D18" s="370">
        <v>0.08</v>
      </c>
      <c r="E18" s="318">
        <f t="shared" si="2"/>
        <v>2.76</v>
      </c>
      <c r="F18" s="319">
        <f t="shared" si="3"/>
        <v>3.24</v>
      </c>
    </row>
    <row r="19" spans="1:6" ht="30" customHeight="1" x14ac:dyDescent="0.25">
      <c r="A19" s="519"/>
      <c r="B19" s="520"/>
      <c r="C19" s="279">
        <v>5</v>
      </c>
      <c r="D19" s="373">
        <v>0.08</v>
      </c>
      <c r="E19" s="280">
        <f t="shared" si="2"/>
        <v>4.6000000000000005</v>
      </c>
      <c r="F19" s="281">
        <f t="shared" si="3"/>
        <v>5.4</v>
      </c>
    </row>
    <row r="20" spans="1:6" ht="30" customHeight="1" x14ac:dyDescent="0.25">
      <c r="A20" s="519"/>
      <c r="B20" s="520"/>
      <c r="C20" s="270">
        <v>10</v>
      </c>
      <c r="D20" s="371">
        <v>0.08</v>
      </c>
      <c r="E20" s="277">
        <f t="shared" si="2"/>
        <v>9.2000000000000011</v>
      </c>
      <c r="F20" s="278">
        <f t="shared" si="3"/>
        <v>10.8</v>
      </c>
    </row>
    <row r="21" spans="1:6" ht="30" customHeight="1" x14ac:dyDescent="0.25">
      <c r="A21" s="519"/>
      <c r="B21" s="520"/>
      <c r="C21" s="279">
        <v>15</v>
      </c>
      <c r="D21" s="373">
        <v>0.08</v>
      </c>
      <c r="E21" s="280">
        <f t="shared" si="2"/>
        <v>13.8</v>
      </c>
      <c r="F21" s="281">
        <f t="shared" si="3"/>
        <v>16.200000000000003</v>
      </c>
    </row>
    <row r="22" spans="1:6" ht="30" customHeight="1" thickBot="1" x14ac:dyDescent="0.3">
      <c r="A22" s="521"/>
      <c r="B22" s="522"/>
      <c r="C22" s="255">
        <v>20</v>
      </c>
      <c r="D22" s="372">
        <v>0.08</v>
      </c>
      <c r="E22" s="304">
        <f t="shared" si="2"/>
        <v>18.400000000000002</v>
      </c>
      <c r="F22" s="305">
        <f t="shared" si="3"/>
        <v>21.6</v>
      </c>
    </row>
    <row r="23" spans="1:6" ht="30" customHeight="1" x14ac:dyDescent="0.25">
      <c r="A23" s="517" t="s">
        <v>100</v>
      </c>
      <c r="B23" s="518"/>
      <c r="C23" s="328">
        <v>21</v>
      </c>
      <c r="D23" s="374">
        <v>0.05</v>
      </c>
      <c r="E23" s="329">
        <f t="shared" si="2"/>
        <v>19.95</v>
      </c>
      <c r="F23" s="330">
        <f t="shared" si="3"/>
        <v>22.05</v>
      </c>
    </row>
    <row r="24" spans="1:6" ht="30" customHeight="1" x14ac:dyDescent="0.25">
      <c r="A24" s="519"/>
      <c r="B24" s="520"/>
      <c r="C24" s="270">
        <v>40</v>
      </c>
      <c r="D24" s="371">
        <v>0.05</v>
      </c>
      <c r="E24" s="277">
        <f t="shared" si="2"/>
        <v>38</v>
      </c>
      <c r="F24" s="278">
        <f t="shared" si="3"/>
        <v>42</v>
      </c>
    </row>
    <row r="25" spans="1:6" ht="30" customHeight="1" x14ac:dyDescent="0.25">
      <c r="A25" s="519"/>
      <c r="B25" s="520"/>
      <c r="C25" s="279">
        <v>60</v>
      </c>
      <c r="D25" s="373">
        <v>0.05</v>
      </c>
      <c r="E25" s="280">
        <f>C25*(1-D25)</f>
        <v>57</v>
      </c>
      <c r="F25" s="281">
        <f t="shared" si="3"/>
        <v>63</v>
      </c>
    </row>
    <row r="26" spans="1:6" ht="30" customHeight="1" x14ac:dyDescent="0.25">
      <c r="A26" s="519"/>
      <c r="B26" s="520"/>
      <c r="C26" s="270">
        <v>80</v>
      </c>
      <c r="D26" s="371">
        <v>0.05</v>
      </c>
      <c r="E26" s="277">
        <f t="shared" si="2"/>
        <v>76</v>
      </c>
      <c r="F26" s="278">
        <f t="shared" si="3"/>
        <v>84</v>
      </c>
    </row>
    <row r="27" spans="1:6" ht="30" customHeight="1" thickBot="1" x14ac:dyDescent="0.3">
      <c r="A27" s="521"/>
      <c r="B27" s="522"/>
      <c r="C27" s="365">
        <v>100</v>
      </c>
      <c r="D27" s="379">
        <v>0.05</v>
      </c>
      <c r="E27" s="335">
        <f t="shared" si="2"/>
        <v>95</v>
      </c>
      <c r="F27" s="336">
        <f t="shared" si="3"/>
        <v>105</v>
      </c>
    </row>
    <row r="28" spans="1:6" ht="15" customHeight="1" thickBot="1" x14ac:dyDescent="0.3"/>
  </sheetData>
  <mergeCells count="11">
    <mergeCell ref="B1:K2"/>
    <mergeCell ref="A3:M3"/>
    <mergeCell ref="A23:B27"/>
    <mergeCell ref="A8:C8"/>
    <mergeCell ref="A9:B11"/>
    <mergeCell ref="A12:B14"/>
    <mergeCell ref="A15:B17"/>
    <mergeCell ref="A18:B22"/>
    <mergeCell ref="H9:I13"/>
    <mergeCell ref="H8:J8"/>
    <mergeCell ref="A6:M6"/>
  </mergeCells>
  <pageMargins left="0.511811024" right="0.511811024" top="0.78740157499999996" bottom="0.78740157499999996" header="0.31496062000000002" footer="0.31496062000000002"/>
  <pageSetup paperSize="9" scale="44" orientation="portrait" r:id="rId1"/>
  <headerFooter>
    <oddFooter>&amp;L_x000D_&amp;1#&amp;"Calibri"&amp;10&amp;K000000 Classificação da Informação: Interno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ABAD-196F-47D8-9174-8469CC9B848F}">
  <sheetPr>
    <tabColor rgb="FFFFC000"/>
  </sheetPr>
  <dimension ref="A1:J46"/>
  <sheetViews>
    <sheetView showGridLines="0" zoomScale="80" zoomScaleNormal="80" zoomScaleSheetLayoutView="100" workbookViewId="0">
      <selection activeCell="K4" sqref="K4"/>
    </sheetView>
  </sheetViews>
  <sheetFormatPr defaultRowHeight="15" x14ac:dyDescent="0.25"/>
  <cols>
    <col min="1" max="1" width="23.5703125" customWidth="1"/>
    <col min="2" max="2" width="18.7109375" customWidth="1"/>
    <col min="3" max="3" width="13.28515625" customWidth="1"/>
    <col min="4" max="4" width="15.85546875" customWidth="1"/>
    <col min="5" max="5" width="17.28515625" bestFit="1" customWidth="1"/>
    <col min="6" max="6" width="19" customWidth="1"/>
  </cols>
  <sheetData>
    <row r="1" spans="1:10" ht="30" customHeight="1" thickBot="1" x14ac:dyDescent="0.3">
      <c r="A1" s="2"/>
      <c r="B1" s="507" t="s">
        <v>78</v>
      </c>
      <c r="C1" s="539"/>
      <c r="D1" s="3" t="s">
        <v>82</v>
      </c>
      <c r="E1" s="4" t="s">
        <v>175</v>
      </c>
    </row>
    <row r="2" spans="1:10" ht="30" customHeight="1" thickBot="1" x14ac:dyDescent="0.3">
      <c r="A2" s="5"/>
      <c r="B2" s="540"/>
      <c r="C2" s="542"/>
      <c r="D2" s="6" t="s">
        <v>79</v>
      </c>
      <c r="E2" s="7" t="s">
        <v>80</v>
      </c>
    </row>
    <row r="3" spans="1:10" ht="15.75" customHeight="1" thickBot="1" x14ac:dyDescent="0.3">
      <c r="A3" s="513" t="s">
        <v>81</v>
      </c>
      <c r="B3" s="514"/>
      <c r="C3" s="514"/>
      <c r="D3" s="514"/>
      <c r="E3" s="537"/>
    </row>
    <row r="4" spans="1:10" ht="15.75" customHeight="1" thickBot="1" x14ac:dyDescent="0.3">
      <c r="A4" s="513"/>
      <c r="B4" s="514"/>
      <c r="C4" s="537"/>
      <c r="D4" s="119" t="s">
        <v>88</v>
      </c>
      <c r="E4" s="119" t="s">
        <v>177</v>
      </c>
    </row>
    <row r="5" spans="1:10" ht="15.75" thickBot="1" x14ac:dyDescent="0.3">
      <c r="A5" s="770"/>
      <c r="B5" s="770"/>
      <c r="C5" s="770"/>
      <c r="D5" s="770"/>
      <c r="E5" s="770"/>
    </row>
    <row r="6" spans="1:10" ht="45.6" customHeight="1" thickBot="1" x14ac:dyDescent="0.4">
      <c r="A6" s="524" t="s">
        <v>118</v>
      </c>
      <c r="B6" s="525"/>
      <c r="C6" s="525"/>
      <c r="D6" s="525"/>
      <c r="E6" s="525"/>
    </row>
    <row r="7" spans="1:10" ht="15" customHeight="1" thickBot="1" x14ac:dyDescent="0.3"/>
    <row r="8" spans="1:10" ht="54" customHeight="1" thickBot="1" x14ac:dyDescent="0.3">
      <c r="A8" s="761" t="s">
        <v>131</v>
      </c>
      <c r="B8" s="767"/>
      <c r="C8" s="381" t="s">
        <v>4</v>
      </c>
      <c r="D8" s="381" t="s">
        <v>2</v>
      </c>
      <c r="E8" s="381" t="s">
        <v>3</v>
      </c>
    </row>
    <row r="9" spans="1:10" ht="30" customHeight="1" x14ac:dyDescent="0.25">
      <c r="A9" s="560" t="s">
        <v>125</v>
      </c>
      <c r="B9" s="82">
        <v>34</v>
      </c>
      <c r="C9" s="226">
        <v>1.5</v>
      </c>
      <c r="D9" s="179">
        <f>B9-C9</f>
        <v>32.5</v>
      </c>
      <c r="E9" s="180">
        <f>B9+C9</f>
        <v>35.5</v>
      </c>
      <c r="F9" s="586"/>
      <c r="G9" s="586"/>
      <c r="H9" s="586"/>
      <c r="I9" s="586"/>
      <c r="J9" s="586"/>
    </row>
    <row r="10" spans="1:10" ht="30" customHeight="1" x14ac:dyDescent="0.25">
      <c r="A10" s="563"/>
      <c r="B10" s="24">
        <v>36</v>
      </c>
      <c r="C10" s="188">
        <v>1.5</v>
      </c>
      <c r="D10" s="218">
        <f t="shared" ref="D10:D11" si="0">B10-C10</f>
        <v>34.5</v>
      </c>
      <c r="E10" s="224">
        <f t="shared" ref="E10:E11" si="1">B10+C10</f>
        <v>37.5</v>
      </c>
      <c r="F10" s="586"/>
      <c r="G10" s="586"/>
      <c r="H10" s="586"/>
      <c r="I10" s="586"/>
      <c r="J10" s="586"/>
    </row>
    <row r="11" spans="1:10" ht="30" customHeight="1" thickBot="1" x14ac:dyDescent="0.3">
      <c r="A11" s="566"/>
      <c r="B11" s="88">
        <v>38</v>
      </c>
      <c r="C11" s="227">
        <v>1.5</v>
      </c>
      <c r="D11" s="228">
        <f t="shared" si="0"/>
        <v>36.5</v>
      </c>
      <c r="E11" s="229">
        <f t="shared" si="1"/>
        <v>39.5</v>
      </c>
      <c r="F11" s="586"/>
      <c r="G11" s="586"/>
      <c r="H11" s="586"/>
      <c r="I11" s="586"/>
      <c r="J11" s="586"/>
    </row>
    <row r="12" spans="1:10" ht="30" hidden="1" customHeight="1" x14ac:dyDescent="0.25">
      <c r="A12" s="517"/>
      <c r="B12" s="518"/>
      <c r="C12" s="241"/>
      <c r="D12" s="242"/>
      <c r="F12" s="586"/>
      <c r="G12" s="586"/>
      <c r="H12" s="586"/>
      <c r="I12" s="586"/>
      <c r="J12" s="586"/>
    </row>
    <row r="13" spans="1:10" ht="30" hidden="1" customHeight="1" x14ac:dyDescent="0.25">
      <c r="A13" s="519"/>
      <c r="B13" s="520"/>
      <c r="C13" s="243"/>
      <c r="D13" s="92"/>
      <c r="F13" s="586"/>
      <c r="G13" s="586"/>
      <c r="H13" s="586"/>
      <c r="I13" s="586"/>
      <c r="J13" s="586"/>
    </row>
    <row r="14" spans="1:10" ht="30" hidden="1" customHeight="1" thickBot="1" x14ac:dyDescent="0.3">
      <c r="A14" s="521"/>
      <c r="B14" s="522"/>
      <c r="C14" s="244"/>
      <c r="D14" s="65"/>
      <c r="F14" s="586"/>
      <c r="G14" s="586"/>
      <c r="H14" s="586"/>
      <c r="I14" s="586"/>
      <c r="J14" s="586"/>
    </row>
    <row r="15" spans="1:10" ht="30" customHeight="1" thickBot="1" x14ac:dyDescent="0.3">
      <c r="A15" s="28"/>
      <c r="B15" s="240"/>
      <c r="C15" s="245"/>
      <c r="D15" s="246"/>
      <c r="F15" s="178"/>
      <c r="G15" s="178"/>
      <c r="H15" s="178"/>
      <c r="I15" s="178"/>
      <c r="J15" s="178"/>
    </row>
    <row r="16" spans="1:10" ht="54" customHeight="1" thickBot="1" x14ac:dyDescent="0.3">
      <c r="A16" s="777" t="s">
        <v>132</v>
      </c>
      <c r="B16" s="778"/>
      <c r="C16" s="397" t="s">
        <v>4</v>
      </c>
      <c r="D16" s="397" t="s">
        <v>2</v>
      </c>
      <c r="E16" s="397" t="s">
        <v>3</v>
      </c>
    </row>
    <row r="17" spans="1:5" ht="30" customHeight="1" x14ac:dyDescent="0.25">
      <c r="A17" s="583" t="s">
        <v>125</v>
      </c>
      <c r="B17" s="82">
        <v>34</v>
      </c>
      <c r="C17" s="226">
        <v>0.5</v>
      </c>
      <c r="D17" s="179">
        <f>B17-C17</f>
        <v>33.5</v>
      </c>
      <c r="E17" s="180">
        <f>B17+C17</f>
        <v>34.5</v>
      </c>
    </row>
    <row r="18" spans="1:5" ht="30" customHeight="1" x14ac:dyDescent="0.25">
      <c r="A18" s="584"/>
      <c r="B18" s="24">
        <v>36</v>
      </c>
      <c r="C18" s="188">
        <v>0.5</v>
      </c>
      <c r="D18" s="218">
        <f t="shared" ref="D18:D19" si="2">B18-C18</f>
        <v>35.5</v>
      </c>
      <c r="E18" s="224">
        <f t="shared" ref="E18:E19" si="3">B18+C18</f>
        <v>36.5</v>
      </c>
    </row>
    <row r="19" spans="1:5" ht="30" customHeight="1" thickBot="1" x14ac:dyDescent="0.3">
      <c r="A19" s="585"/>
      <c r="B19" s="88">
        <v>38</v>
      </c>
      <c r="C19" s="227">
        <v>0.5</v>
      </c>
      <c r="D19" s="228">
        <f t="shared" si="2"/>
        <v>37.5</v>
      </c>
      <c r="E19" s="229">
        <f t="shared" si="3"/>
        <v>38.5</v>
      </c>
    </row>
    <row r="20" spans="1:5" ht="30" customHeight="1" thickBot="1" x14ac:dyDescent="0.3">
      <c r="A20" s="382"/>
      <c r="B20" s="401"/>
      <c r="C20" s="402"/>
      <c r="D20" s="403"/>
      <c r="E20" s="403"/>
    </row>
    <row r="21" spans="1:5" ht="48.75" customHeight="1" thickBot="1" x14ac:dyDescent="0.3">
      <c r="A21" s="768" t="s">
        <v>140</v>
      </c>
      <c r="B21" s="769"/>
      <c r="C21" s="414" t="s">
        <v>4</v>
      </c>
      <c r="D21" s="414" t="s">
        <v>2</v>
      </c>
      <c r="E21" s="414" t="s">
        <v>3</v>
      </c>
    </row>
    <row r="22" spans="1:5" ht="53.25" customHeight="1" thickBot="1" x14ac:dyDescent="0.3">
      <c r="A22" s="404" t="s">
        <v>141</v>
      </c>
      <c r="B22" s="406">
        <v>55</v>
      </c>
      <c r="C22" s="407">
        <v>5</v>
      </c>
      <c r="D22" s="408">
        <f>B22-C22</f>
        <v>50</v>
      </c>
      <c r="E22" s="409">
        <f>B22+C22</f>
        <v>60</v>
      </c>
    </row>
    <row r="23" spans="1:5" ht="15" customHeight="1" x14ac:dyDescent="0.25"/>
    <row r="24" spans="1:5" ht="15" customHeight="1" thickBot="1" x14ac:dyDescent="0.3"/>
    <row r="25" spans="1:5" ht="54" customHeight="1" thickBot="1" x14ac:dyDescent="0.3">
      <c r="A25" s="572" t="s">
        <v>133</v>
      </c>
      <c r="B25" s="779"/>
      <c r="C25" s="391" t="s">
        <v>4</v>
      </c>
      <c r="D25" s="391" t="s">
        <v>2</v>
      </c>
      <c r="E25" s="391" t="s">
        <v>3</v>
      </c>
    </row>
    <row r="26" spans="1:5" ht="30" customHeight="1" x14ac:dyDescent="0.25">
      <c r="A26" s="583" t="s">
        <v>134</v>
      </c>
      <c r="B26" s="328">
        <v>30</v>
      </c>
      <c r="C26" s="89">
        <v>0.1</v>
      </c>
      <c r="D26" s="410">
        <f>B26*(1-C26)</f>
        <v>27</v>
      </c>
      <c r="E26" s="411">
        <f>B26*(1+C26)</f>
        <v>33</v>
      </c>
    </row>
    <row r="27" spans="1:5" ht="30" customHeight="1" x14ac:dyDescent="0.25">
      <c r="A27" s="584"/>
      <c r="B27" s="270">
        <v>35</v>
      </c>
      <c r="C27" s="380">
        <v>0.1</v>
      </c>
      <c r="D27" s="277">
        <f t="shared" ref="D27:D28" si="4">B27*(1-C27)</f>
        <v>31.5</v>
      </c>
      <c r="E27" s="278">
        <f t="shared" ref="E27:E31" si="5">B27*(1+C27)</f>
        <v>38.5</v>
      </c>
    </row>
    <row r="28" spans="1:5" ht="30" customHeight="1" thickBot="1" x14ac:dyDescent="0.3">
      <c r="A28" s="585"/>
      <c r="B28" s="365">
        <v>40</v>
      </c>
      <c r="C28" s="98">
        <v>0.1</v>
      </c>
      <c r="D28" s="412">
        <f t="shared" si="4"/>
        <v>36</v>
      </c>
      <c r="E28" s="413">
        <f t="shared" si="5"/>
        <v>44</v>
      </c>
    </row>
    <row r="29" spans="1:5" ht="30" hidden="1" customHeight="1" x14ac:dyDescent="0.25">
      <c r="A29" s="519" t="s">
        <v>47</v>
      </c>
      <c r="B29" s="520"/>
      <c r="C29" s="248">
        <v>1</v>
      </c>
      <c r="D29" s="249">
        <v>0.1</v>
      </c>
      <c r="E29">
        <f t="shared" si="5"/>
        <v>0</v>
      </c>
    </row>
    <row r="30" spans="1:5" ht="30" hidden="1" customHeight="1" x14ac:dyDescent="0.25">
      <c r="A30" s="519"/>
      <c r="B30" s="520"/>
      <c r="C30" s="250">
        <v>5</v>
      </c>
      <c r="D30" s="242">
        <v>0.1</v>
      </c>
      <c r="E30">
        <f t="shared" si="5"/>
        <v>0</v>
      </c>
    </row>
    <row r="31" spans="1:5" ht="30" hidden="1" customHeight="1" thickBot="1" x14ac:dyDescent="0.3">
      <c r="A31" s="521"/>
      <c r="B31" s="522"/>
      <c r="C31" s="251">
        <v>15</v>
      </c>
      <c r="D31" s="252">
        <v>0.1</v>
      </c>
      <c r="E31">
        <f t="shared" si="5"/>
        <v>0</v>
      </c>
    </row>
    <row r="32" spans="1:5" ht="15" customHeight="1" thickBot="1" x14ac:dyDescent="0.3"/>
    <row r="33" spans="1:5" ht="54" customHeight="1" thickBot="1" x14ac:dyDescent="0.3">
      <c r="A33" s="771" t="s">
        <v>135</v>
      </c>
      <c r="B33" s="772"/>
      <c r="C33" s="399" t="s">
        <v>4</v>
      </c>
      <c r="D33" s="399" t="s">
        <v>2</v>
      </c>
      <c r="E33" s="399" t="s">
        <v>3</v>
      </c>
    </row>
    <row r="34" spans="1:5" ht="30" customHeight="1" x14ac:dyDescent="0.25">
      <c r="A34" s="583" t="s">
        <v>134</v>
      </c>
      <c r="B34" s="294">
        <v>15</v>
      </c>
      <c r="C34" s="276">
        <v>0.1</v>
      </c>
      <c r="D34" s="393">
        <f>B34*(1-C34)</f>
        <v>13.5</v>
      </c>
      <c r="E34" s="394">
        <f>B34*(1+C34)</f>
        <v>16.5</v>
      </c>
    </row>
    <row r="35" spans="1:5" ht="30" customHeight="1" x14ac:dyDescent="0.25">
      <c r="A35" s="584"/>
      <c r="B35" s="279">
        <v>20</v>
      </c>
      <c r="C35" s="134">
        <v>0.1</v>
      </c>
      <c r="D35" s="280">
        <f t="shared" ref="D35:D36" si="6">B35*(1-C35)</f>
        <v>18</v>
      </c>
      <c r="E35" s="281">
        <f t="shared" ref="E35:E36" si="7">B35*(1+C35)</f>
        <v>22</v>
      </c>
    </row>
    <row r="36" spans="1:5" ht="30" customHeight="1" thickBot="1" x14ac:dyDescent="0.3">
      <c r="A36" s="585"/>
      <c r="B36" s="255">
        <v>25</v>
      </c>
      <c r="C36" s="256">
        <v>0.1</v>
      </c>
      <c r="D36" s="395">
        <f t="shared" si="6"/>
        <v>22.5</v>
      </c>
      <c r="E36" s="396">
        <f t="shared" si="7"/>
        <v>27.500000000000004</v>
      </c>
    </row>
    <row r="37" spans="1:5" ht="15.75" thickBot="1" x14ac:dyDescent="0.3"/>
    <row r="38" spans="1:5" ht="54" customHeight="1" thickBot="1" x14ac:dyDescent="0.3">
      <c r="A38" s="773" t="s">
        <v>136</v>
      </c>
      <c r="B38" s="774"/>
      <c r="C38" s="398" t="s">
        <v>4</v>
      </c>
      <c r="D38" s="398" t="s">
        <v>2</v>
      </c>
      <c r="E38" s="398" t="s">
        <v>3</v>
      </c>
    </row>
    <row r="39" spans="1:5" ht="30" customHeight="1" x14ac:dyDescent="0.25">
      <c r="A39" s="583" t="s">
        <v>138</v>
      </c>
      <c r="B39" s="328">
        <v>4</v>
      </c>
      <c r="C39" s="89">
        <v>0.08</v>
      </c>
      <c r="D39" s="410">
        <f>B39*(1-C39)</f>
        <v>3.68</v>
      </c>
      <c r="E39" s="411">
        <f>B39*(1+C39)</f>
        <v>4.32</v>
      </c>
    </row>
    <row r="40" spans="1:5" ht="30" customHeight="1" x14ac:dyDescent="0.25">
      <c r="A40" s="584"/>
      <c r="B40" s="270">
        <v>6</v>
      </c>
      <c r="C40" s="380">
        <v>0.08</v>
      </c>
      <c r="D40" s="277">
        <f t="shared" ref="D40:D41" si="8">B40*(1-C40)</f>
        <v>5.52</v>
      </c>
      <c r="E40" s="278">
        <f t="shared" ref="E40:E41" si="9">B40*(1+C40)</f>
        <v>6.48</v>
      </c>
    </row>
    <row r="41" spans="1:5" ht="30" customHeight="1" thickBot="1" x14ac:dyDescent="0.3">
      <c r="A41" s="585"/>
      <c r="B41" s="365">
        <v>8</v>
      </c>
      <c r="C41" s="98">
        <v>0.08</v>
      </c>
      <c r="D41" s="412">
        <f t="shared" si="8"/>
        <v>7.36</v>
      </c>
      <c r="E41" s="413">
        <f t="shared" si="9"/>
        <v>8.64</v>
      </c>
    </row>
    <row r="42" spans="1:5" ht="15.75" thickBot="1" x14ac:dyDescent="0.3"/>
    <row r="43" spans="1:5" ht="54" customHeight="1" thickBot="1" x14ac:dyDescent="0.3">
      <c r="A43" s="775" t="s">
        <v>137</v>
      </c>
      <c r="B43" s="776"/>
      <c r="C43" s="400" t="s">
        <v>4</v>
      </c>
      <c r="D43" s="400" t="s">
        <v>2</v>
      </c>
      <c r="E43" s="400" t="s">
        <v>3</v>
      </c>
    </row>
    <row r="44" spans="1:5" ht="30" customHeight="1" x14ac:dyDescent="0.25">
      <c r="A44" s="583" t="s">
        <v>139</v>
      </c>
      <c r="B44" s="294">
        <v>21</v>
      </c>
      <c r="C44" s="276">
        <v>0.05</v>
      </c>
      <c r="D44" s="393">
        <f>B44*(1-C44)</f>
        <v>19.95</v>
      </c>
      <c r="E44" s="394">
        <f>B44*(1+C44)</f>
        <v>22.05</v>
      </c>
    </row>
    <row r="45" spans="1:5" ht="30" customHeight="1" x14ac:dyDescent="0.25">
      <c r="A45" s="584"/>
      <c r="B45" s="279">
        <v>60</v>
      </c>
      <c r="C45" s="134">
        <v>0.05</v>
      </c>
      <c r="D45" s="280">
        <f>B45*(1-C45)</f>
        <v>57</v>
      </c>
      <c r="E45" s="281">
        <f t="shared" ref="E45:E46" si="10">B45*(1+C45)</f>
        <v>63</v>
      </c>
    </row>
    <row r="46" spans="1:5" ht="30" customHeight="1" thickBot="1" x14ac:dyDescent="0.3">
      <c r="A46" s="585"/>
      <c r="B46" s="255">
        <v>100</v>
      </c>
      <c r="C46" s="256">
        <v>0.05</v>
      </c>
      <c r="D46" s="395">
        <f>B46*(1-C46)</f>
        <v>95</v>
      </c>
      <c r="E46" s="396">
        <f t="shared" si="10"/>
        <v>105</v>
      </c>
    </row>
  </sheetData>
  <mergeCells count="21">
    <mergeCell ref="A44:A46"/>
    <mergeCell ref="A21:B21"/>
    <mergeCell ref="A6:E6"/>
    <mergeCell ref="A3:E3"/>
    <mergeCell ref="A4:C4"/>
    <mergeCell ref="A5:E5"/>
    <mergeCell ref="A33:B33"/>
    <mergeCell ref="A34:A36"/>
    <mergeCell ref="A38:B38"/>
    <mergeCell ref="A39:A41"/>
    <mergeCell ref="A43:B43"/>
    <mergeCell ref="A29:B31"/>
    <mergeCell ref="A16:B16"/>
    <mergeCell ref="A17:A19"/>
    <mergeCell ref="A25:B25"/>
    <mergeCell ref="A26:A28"/>
    <mergeCell ref="F9:J14"/>
    <mergeCell ref="A12:B14"/>
    <mergeCell ref="A9:A11"/>
    <mergeCell ref="A8:B8"/>
    <mergeCell ref="B1:C2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A716-FCA1-48AC-ADD3-6F2ED6B81FC1}">
  <sheetPr>
    <tabColor rgb="FFFFC000"/>
  </sheetPr>
  <dimension ref="A1:K30"/>
  <sheetViews>
    <sheetView showGridLines="0" zoomScale="80" zoomScaleNormal="80" zoomScaleSheetLayoutView="100" workbookViewId="0">
      <selection activeCell="H6" sqref="H6"/>
    </sheetView>
  </sheetViews>
  <sheetFormatPr defaultRowHeight="15" x14ac:dyDescent="0.25"/>
  <cols>
    <col min="1" max="1" width="23.5703125" customWidth="1"/>
    <col min="2" max="2" width="18.7109375" customWidth="1"/>
    <col min="3" max="3" width="13.28515625" customWidth="1"/>
    <col min="4" max="4" width="16.28515625" customWidth="1"/>
    <col min="5" max="5" width="15.85546875" customWidth="1"/>
    <col min="6" max="6" width="16.5703125" bestFit="1" customWidth="1"/>
    <col min="7" max="7" width="19" customWidth="1"/>
  </cols>
  <sheetData>
    <row r="1" spans="1:11" ht="30" customHeight="1" thickBot="1" x14ac:dyDescent="0.3">
      <c r="A1" s="2"/>
      <c r="B1" s="507" t="s">
        <v>78</v>
      </c>
      <c r="C1" s="539"/>
      <c r="D1" s="385" t="s">
        <v>82</v>
      </c>
      <c r="E1" s="56" t="s">
        <v>175</v>
      </c>
    </row>
    <row r="2" spans="1:11" ht="30" customHeight="1" thickBot="1" x14ac:dyDescent="0.3">
      <c r="A2" s="5"/>
      <c r="B2" s="540"/>
      <c r="C2" s="542"/>
      <c r="D2" s="386" t="s">
        <v>79</v>
      </c>
      <c r="E2" s="122" t="s">
        <v>80</v>
      </c>
    </row>
    <row r="3" spans="1:11" ht="15.75" customHeight="1" thickBot="1" x14ac:dyDescent="0.3">
      <c r="A3" s="513" t="s">
        <v>81</v>
      </c>
      <c r="B3" s="514"/>
      <c r="C3" s="514"/>
      <c r="D3" s="514"/>
      <c r="E3" s="537"/>
    </row>
    <row r="4" spans="1:11" ht="15.75" customHeight="1" thickBot="1" x14ac:dyDescent="0.3">
      <c r="A4" s="513"/>
      <c r="B4" s="514"/>
      <c r="C4" s="537"/>
      <c r="D4" s="119" t="s">
        <v>88</v>
      </c>
      <c r="E4" s="119" t="s">
        <v>177</v>
      </c>
    </row>
    <row r="5" spans="1:11" ht="15.75" thickBot="1" x14ac:dyDescent="0.3"/>
    <row r="6" spans="1:11" ht="45.6" customHeight="1" thickBot="1" x14ac:dyDescent="0.4">
      <c r="A6" s="524" t="s">
        <v>147</v>
      </c>
      <c r="B6" s="525"/>
      <c r="C6" s="525"/>
      <c r="D6" s="525"/>
      <c r="E6" s="525"/>
    </row>
    <row r="7" spans="1:11" ht="15" customHeight="1" thickBot="1" x14ac:dyDescent="0.3"/>
    <row r="8" spans="1:11" s="14" customFormat="1" ht="80.25" customHeight="1" thickBot="1" x14ac:dyDescent="0.3">
      <c r="A8" s="761" t="s">
        <v>151</v>
      </c>
      <c r="B8" s="767"/>
      <c r="C8" s="247" t="s">
        <v>4</v>
      </c>
      <c r="D8" s="247" t="s">
        <v>2</v>
      </c>
      <c r="E8" s="247" t="s">
        <v>3</v>
      </c>
      <c r="F8"/>
      <c r="G8" s="415"/>
      <c r="H8" s="415"/>
      <c r="I8" s="415"/>
      <c r="J8" s="415"/>
      <c r="K8" s="415"/>
    </row>
    <row r="9" spans="1:11" ht="59.25" customHeight="1" thickBot="1" x14ac:dyDescent="0.3">
      <c r="A9" s="404" t="s">
        <v>145</v>
      </c>
      <c r="B9" s="406">
        <v>100</v>
      </c>
      <c r="C9" s="422">
        <v>0.2</v>
      </c>
      <c r="D9" s="408">
        <f>B9*(1-C9)</f>
        <v>80</v>
      </c>
      <c r="E9" s="408">
        <f>B9*(1+C9)</f>
        <v>120</v>
      </c>
      <c r="G9" s="415"/>
      <c r="H9" s="415"/>
      <c r="I9" s="415"/>
      <c r="J9" s="415"/>
      <c r="K9" s="415"/>
    </row>
    <row r="10" spans="1:11" ht="22.5" customHeight="1" thickBot="1" x14ac:dyDescent="0.3">
      <c r="G10" s="415"/>
      <c r="H10" s="415"/>
      <c r="I10" s="415"/>
      <c r="J10" s="415"/>
      <c r="K10" s="415"/>
    </row>
    <row r="11" spans="1:11" s="14" customFormat="1" ht="78.75" customHeight="1" thickBot="1" x14ac:dyDescent="0.3">
      <c r="A11" s="531" t="s">
        <v>151</v>
      </c>
      <c r="B11" s="533"/>
      <c r="C11" s="421" t="s">
        <v>4</v>
      </c>
      <c r="D11" s="421" t="s">
        <v>2</v>
      </c>
      <c r="E11" s="421" t="s">
        <v>3</v>
      </c>
      <c r="F11"/>
      <c r="G11" s="415"/>
      <c r="H11" s="415"/>
      <c r="I11" s="415"/>
      <c r="J11" s="415"/>
      <c r="K11" s="415"/>
    </row>
    <row r="12" spans="1:11" ht="60.75" customHeight="1" thickBot="1" x14ac:dyDescent="0.3">
      <c r="A12" s="404" t="s">
        <v>146</v>
      </c>
      <c r="B12" s="104">
        <v>100</v>
      </c>
      <c r="C12" s="420">
        <v>0.2</v>
      </c>
      <c r="D12" s="405">
        <f>B12*(1-C12)</f>
        <v>80</v>
      </c>
      <c r="E12" s="405">
        <f>B12*(1+C12)</f>
        <v>120</v>
      </c>
      <c r="G12" s="415"/>
      <c r="H12" s="415"/>
      <c r="I12" s="415"/>
      <c r="J12" s="415"/>
      <c r="K12" s="415"/>
    </row>
    <row r="13" spans="1:11" ht="18.75" customHeight="1" thickBot="1" x14ac:dyDescent="0.3">
      <c r="G13" s="178"/>
      <c r="H13" s="178"/>
      <c r="I13" s="178"/>
      <c r="J13" s="178"/>
      <c r="K13" s="178"/>
    </row>
    <row r="14" spans="1:11" s="14" customFormat="1" ht="85.5" customHeight="1" thickBot="1" x14ac:dyDescent="0.3">
      <c r="A14" s="784" t="s">
        <v>151</v>
      </c>
      <c r="B14" s="785"/>
      <c r="C14" s="423" t="s">
        <v>4</v>
      </c>
      <c r="D14" s="423" t="s">
        <v>2</v>
      </c>
      <c r="E14" s="423" t="s">
        <v>3</v>
      </c>
      <c r="F14"/>
      <c r="G14" s="415"/>
      <c r="H14" s="415"/>
      <c r="I14" s="415"/>
      <c r="J14" s="415"/>
      <c r="K14" s="415"/>
    </row>
    <row r="15" spans="1:11" ht="30" customHeight="1" x14ac:dyDescent="0.25">
      <c r="A15" s="578" t="s">
        <v>150</v>
      </c>
      <c r="B15" s="294">
        <v>1</v>
      </c>
      <c r="C15" s="276">
        <v>0.2</v>
      </c>
      <c r="D15" s="318">
        <f t="shared" ref="D15:D18" si="0">B15*(1-C15)</f>
        <v>0.8</v>
      </c>
      <c r="E15" s="319">
        <f t="shared" ref="E15:E18" si="1">B15*(1+C15)</f>
        <v>1.2</v>
      </c>
    </row>
    <row r="16" spans="1:11" ht="30" customHeight="1" x14ac:dyDescent="0.25">
      <c r="A16" s="579"/>
      <c r="B16" s="279">
        <v>3</v>
      </c>
      <c r="C16" s="134">
        <v>0.2</v>
      </c>
      <c r="D16" s="280">
        <f t="shared" si="0"/>
        <v>2.4000000000000004</v>
      </c>
      <c r="E16" s="281">
        <f t="shared" si="1"/>
        <v>3.5999999999999996</v>
      </c>
    </row>
    <row r="17" spans="1:11" ht="30" customHeight="1" x14ac:dyDescent="0.25">
      <c r="A17" s="579"/>
      <c r="B17" s="270">
        <v>5</v>
      </c>
      <c r="C17" s="380">
        <v>0.2</v>
      </c>
      <c r="D17" s="277">
        <f t="shared" si="0"/>
        <v>4</v>
      </c>
      <c r="E17" s="278">
        <f t="shared" si="1"/>
        <v>6</v>
      </c>
    </row>
    <row r="18" spans="1:11" ht="30" customHeight="1" thickBot="1" x14ac:dyDescent="0.3">
      <c r="A18" s="580"/>
      <c r="B18" s="365">
        <v>9</v>
      </c>
      <c r="C18" s="98">
        <v>0.2</v>
      </c>
      <c r="D18" s="335">
        <f t="shared" si="0"/>
        <v>7.2</v>
      </c>
      <c r="E18" s="336">
        <f t="shared" si="1"/>
        <v>10.8</v>
      </c>
    </row>
    <row r="19" spans="1:11" ht="20.25" customHeight="1" thickBot="1" x14ac:dyDescent="0.3">
      <c r="G19" s="178"/>
      <c r="H19" s="178"/>
      <c r="I19" s="178"/>
      <c r="J19" s="178"/>
      <c r="K19" s="178"/>
    </row>
    <row r="20" spans="1:11" ht="87.75" customHeight="1" thickBot="1" x14ac:dyDescent="0.3">
      <c r="A20" s="782" t="s">
        <v>151</v>
      </c>
      <c r="B20" s="783"/>
      <c r="C20" s="424" t="s">
        <v>4</v>
      </c>
      <c r="D20" s="424" t="s">
        <v>2</v>
      </c>
      <c r="E20" s="424" t="s">
        <v>3</v>
      </c>
      <c r="G20" s="178"/>
      <c r="H20" s="178"/>
      <c r="I20" s="178"/>
      <c r="J20" s="178"/>
      <c r="K20" s="178"/>
    </row>
    <row r="21" spans="1:11" ht="48" customHeight="1" x14ac:dyDescent="0.25">
      <c r="A21" s="578" t="s">
        <v>149</v>
      </c>
      <c r="B21" s="294">
        <v>1</v>
      </c>
      <c r="C21" s="276">
        <v>0.2</v>
      </c>
      <c r="D21" s="318">
        <f t="shared" ref="D21:D24" si="2">B21*(1-C21)</f>
        <v>0.8</v>
      </c>
      <c r="E21" s="319">
        <f t="shared" ref="E21:E24" si="3">B21*(1+C21)</f>
        <v>1.2</v>
      </c>
      <c r="G21" s="178"/>
      <c r="H21" s="178"/>
      <c r="I21" s="178"/>
      <c r="J21" s="178"/>
      <c r="K21" s="178"/>
    </row>
    <row r="22" spans="1:11" ht="48" customHeight="1" x14ac:dyDescent="0.25">
      <c r="A22" s="579"/>
      <c r="B22" s="279">
        <v>3</v>
      </c>
      <c r="C22" s="134">
        <v>0.2</v>
      </c>
      <c r="D22" s="280">
        <f t="shared" si="2"/>
        <v>2.4000000000000004</v>
      </c>
      <c r="E22" s="281">
        <f t="shared" si="3"/>
        <v>3.5999999999999996</v>
      </c>
      <c r="G22" s="178"/>
      <c r="H22" s="178"/>
      <c r="I22" s="178"/>
      <c r="J22" s="178"/>
      <c r="K22" s="178"/>
    </row>
    <row r="23" spans="1:11" ht="48" customHeight="1" x14ac:dyDescent="0.25">
      <c r="A23" s="579"/>
      <c r="B23" s="270">
        <v>5</v>
      </c>
      <c r="C23" s="380">
        <v>0.2</v>
      </c>
      <c r="D23" s="277">
        <f t="shared" si="2"/>
        <v>4</v>
      </c>
      <c r="E23" s="278">
        <f t="shared" si="3"/>
        <v>6</v>
      </c>
      <c r="G23" s="178"/>
      <c r="H23" s="178"/>
      <c r="I23" s="178"/>
      <c r="J23" s="178"/>
      <c r="K23" s="178"/>
    </row>
    <row r="24" spans="1:11" ht="48" customHeight="1" thickBot="1" x14ac:dyDescent="0.3">
      <c r="A24" s="580"/>
      <c r="B24" s="365">
        <v>9</v>
      </c>
      <c r="C24" s="98">
        <v>0.2</v>
      </c>
      <c r="D24" s="335">
        <f t="shared" si="2"/>
        <v>7.2</v>
      </c>
      <c r="E24" s="336">
        <f t="shared" si="3"/>
        <v>10.8</v>
      </c>
      <c r="G24" s="178"/>
      <c r="H24" s="178"/>
      <c r="I24" s="178"/>
      <c r="J24" s="178"/>
      <c r="K24" s="178"/>
    </row>
    <row r="25" spans="1:11" ht="17.25" customHeight="1" thickBot="1" x14ac:dyDescent="0.3">
      <c r="G25" s="178"/>
      <c r="H25" s="178"/>
      <c r="I25" s="178"/>
      <c r="J25" s="178"/>
      <c r="K25" s="178"/>
    </row>
    <row r="26" spans="1:11" ht="87.75" customHeight="1" thickBot="1" x14ac:dyDescent="0.3">
      <c r="A26" s="780" t="s">
        <v>152</v>
      </c>
      <c r="B26" s="781"/>
      <c r="C26" s="425" t="s">
        <v>4</v>
      </c>
      <c r="D26" s="425" t="s">
        <v>2</v>
      </c>
      <c r="E26" s="425" t="s">
        <v>3</v>
      </c>
      <c r="G26" s="178"/>
      <c r="H26" s="178"/>
      <c r="I26" s="178"/>
      <c r="J26" s="178"/>
      <c r="K26" s="178"/>
    </row>
    <row r="27" spans="1:11" ht="48" customHeight="1" x14ac:dyDescent="0.25">
      <c r="A27" s="578" t="s">
        <v>120</v>
      </c>
      <c r="B27" s="294">
        <v>10</v>
      </c>
      <c r="C27" s="276">
        <v>0.04</v>
      </c>
      <c r="D27" s="318">
        <f t="shared" ref="D27:D30" si="4">B27*(1-C27)</f>
        <v>9.6</v>
      </c>
      <c r="E27" s="319">
        <f t="shared" ref="E27:E30" si="5">B27*(1+C27)</f>
        <v>10.4</v>
      </c>
      <c r="G27" s="178"/>
      <c r="H27" s="178"/>
      <c r="I27" s="178"/>
      <c r="J27" s="178"/>
      <c r="K27" s="178"/>
    </row>
    <row r="28" spans="1:11" ht="48" customHeight="1" x14ac:dyDescent="0.25">
      <c r="A28" s="579"/>
      <c r="B28" s="279">
        <v>30</v>
      </c>
      <c r="C28" s="134">
        <v>0.04</v>
      </c>
      <c r="D28" s="280">
        <f t="shared" si="4"/>
        <v>28.799999999999997</v>
      </c>
      <c r="E28" s="281">
        <f t="shared" si="5"/>
        <v>31.200000000000003</v>
      </c>
      <c r="G28" s="178"/>
      <c r="H28" s="178"/>
      <c r="I28" s="178"/>
      <c r="J28" s="178"/>
      <c r="K28" s="178"/>
    </row>
    <row r="29" spans="1:11" ht="48" customHeight="1" x14ac:dyDescent="0.25">
      <c r="A29" s="579"/>
      <c r="B29" s="270">
        <v>60</v>
      </c>
      <c r="C29" s="380">
        <v>0.04</v>
      </c>
      <c r="D29" s="277">
        <f t="shared" si="4"/>
        <v>57.599999999999994</v>
      </c>
      <c r="E29" s="278">
        <f t="shared" si="5"/>
        <v>62.400000000000006</v>
      </c>
      <c r="G29" s="178"/>
      <c r="H29" s="178"/>
      <c r="I29" s="178"/>
      <c r="J29" s="178"/>
      <c r="K29" s="178"/>
    </row>
    <row r="30" spans="1:11" ht="48" customHeight="1" thickBot="1" x14ac:dyDescent="0.3">
      <c r="A30" s="580"/>
      <c r="B30" s="365">
        <v>90</v>
      </c>
      <c r="C30" s="98">
        <v>0.04</v>
      </c>
      <c r="D30" s="335">
        <f t="shared" si="4"/>
        <v>86.4</v>
      </c>
      <c r="E30" s="336">
        <f t="shared" si="5"/>
        <v>93.6</v>
      </c>
      <c r="G30" s="178"/>
      <c r="H30" s="178"/>
      <c r="I30" s="178"/>
      <c r="J30" s="178"/>
      <c r="K30" s="178"/>
    </row>
  </sheetData>
  <mergeCells count="12">
    <mergeCell ref="A26:B26"/>
    <mergeCell ref="A27:A30"/>
    <mergeCell ref="A6:E6"/>
    <mergeCell ref="B1:C2"/>
    <mergeCell ref="A3:E3"/>
    <mergeCell ref="A4:C4"/>
    <mergeCell ref="A15:A18"/>
    <mergeCell ref="A20:B20"/>
    <mergeCell ref="A21:A24"/>
    <mergeCell ref="A8:B8"/>
    <mergeCell ref="A11:B11"/>
    <mergeCell ref="A14:B14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3D494-FC16-4ED8-978E-DD2BEB9AAB95}">
  <sheetPr>
    <tabColor rgb="FFFFC000"/>
  </sheetPr>
  <dimension ref="A1:K9"/>
  <sheetViews>
    <sheetView showGridLines="0" zoomScale="80" zoomScaleNormal="80" zoomScaleSheetLayoutView="100" workbookViewId="0">
      <selection activeCell="H2" sqref="H2"/>
    </sheetView>
  </sheetViews>
  <sheetFormatPr defaultRowHeight="15" x14ac:dyDescent="0.25"/>
  <cols>
    <col min="1" max="1" width="23.5703125" customWidth="1"/>
    <col min="2" max="2" width="18.7109375" customWidth="1"/>
    <col min="3" max="3" width="15.7109375" customWidth="1"/>
    <col min="4" max="4" width="16.28515625" customWidth="1"/>
    <col min="5" max="6" width="16.5703125" bestFit="1" customWidth="1"/>
    <col min="7" max="7" width="19" customWidth="1"/>
  </cols>
  <sheetData>
    <row r="1" spans="1:11" ht="30" customHeight="1" thickBot="1" x14ac:dyDescent="0.3">
      <c r="A1" s="2"/>
      <c r="B1" s="507" t="s">
        <v>78</v>
      </c>
      <c r="C1" s="539"/>
      <c r="D1" s="385" t="s">
        <v>82</v>
      </c>
      <c r="E1" s="56" t="s">
        <v>175</v>
      </c>
    </row>
    <row r="2" spans="1:11" ht="30" customHeight="1" thickBot="1" x14ac:dyDescent="0.3">
      <c r="A2" s="5"/>
      <c r="B2" s="540"/>
      <c r="C2" s="542"/>
      <c r="D2" s="386" t="s">
        <v>79</v>
      </c>
      <c r="E2" s="122" t="s">
        <v>80</v>
      </c>
    </row>
    <row r="3" spans="1:11" ht="15.75" customHeight="1" thickBot="1" x14ac:dyDescent="0.3">
      <c r="A3" s="513" t="s">
        <v>81</v>
      </c>
      <c r="B3" s="514"/>
      <c r="C3" s="514"/>
      <c r="D3" s="514"/>
      <c r="E3" s="537"/>
    </row>
    <row r="4" spans="1:11" ht="15.75" customHeight="1" thickBot="1" x14ac:dyDescent="0.3">
      <c r="A4" s="513"/>
      <c r="B4" s="514"/>
      <c r="C4" s="537"/>
      <c r="D4" s="119" t="s">
        <v>88</v>
      </c>
      <c r="E4" s="119" t="s">
        <v>177</v>
      </c>
    </row>
    <row r="5" spans="1:11" ht="15.75" thickBot="1" x14ac:dyDescent="0.3"/>
    <row r="6" spans="1:11" ht="45.6" customHeight="1" thickBot="1" x14ac:dyDescent="0.4">
      <c r="A6" s="524" t="s">
        <v>119</v>
      </c>
      <c r="B6" s="525"/>
      <c r="C6" s="525"/>
      <c r="D6" s="525"/>
      <c r="E6" s="525"/>
    </row>
    <row r="7" spans="1:11" ht="15" customHeight="1" thickBot="1" x14ac:dyDescent="0.3"/>
    <row r="8" spans="1:11" s="14" customFormat="1" ht="80.25" customHeight="1" thickBot="1" x14ac:dyDescent="0.3">
      <c r="A8" s="761" t="s">
        <v>153</v>
      </c>
      <c r="B8" s="767"/>
      <c r="C8" s="247" t="s">
        <v>4</v>
      </c>
      <c r="D8" s="247" t="s">
        <v>2</v>
      </c>
      <c r="E8" s="247" t="s">
        <v>3</v>
      </c>
      <c r="F8"/>
      <c r="G8" s="415"/>
      <c r="H8" s="415"/>
      <c r="I8" s="415"/>
      <c r="J8" s="415"/>
      <c r="K8" s="415"/>
    </row>
    <row r="9" spans="1:11" ht="59.25" customHeight="1" thickBot="1" x14ac:dyDescent="0.3">
      <c r="A9" s="404" t="s">
        <v>71</v>
      </c>
      <c r="B9" s="406">
        <v>3</v>
      </c>
      <c r="C9" s="422">
        <v>0.1</v>
      </c>
      <c r="D9" s="408">
        <f>B9*(1-C9)</f>
        <v>2.7</v>
      </c>
      <c r="E9" s="408">
        <f>B9*(1+C9)</f>
        <v>3.3000000000000003</v>
      </c>
      <c r="G9" s="415"/>
      <c r="H9" s="415"/>
      <c r="I9" s="415"/>
      <c r="J9" s="415"/>
      <c r="K9" s="415"/>
    </row>
  </sheetData>
  <mergeCells count="5">
    <mergeCell ref="B1:C2"/>
    <mergeCell ref="A3:E3"/>
    <mergeCell ref="A4:C4"/>
    <mergeCell ref="A6:E6"/>
    <mergeCell ref="A8:B8"/>
  </mergeCells>
  <pageMargins left="0.511811024" right="0.511811024" top="0.78740157499999996" bottom="0.78740157499999996" header="0.31496062000000002" footer="0.31496062000000002"/>
  <pageSetup paperSize="9" scale="45" orientation="portrait" r:id="rId1"/>
  <headerFooter>
    <oddFooter>&amp;L_x000D_&amp;1#&amp;"Calibri"&amp;10&amp;K000000 Classificação da Informação: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19</vt:i4>
      </vt:variant>
    </vt:vector>
  </HeadingPairs>
  <TitlesOfParts>
    <vt:vector size="39" baseType="lpstr">
      <vt:lpstr>Balanças</vt:lpstr>
      <vt:lpstr>Cardioversor e DEA</vt:lpstr>
      <vt:lpstr>Monitor Multi + Monitor Triagem</vt:lpstr>
      <vt:lpstr>Oxímetro de pulso</vt:lpstr>
      <vt:lpstr>Esfigmo Dig + Esfigmo Analogico</vt:lpstr>
      <vt:lpstr>Centrífugas_Workstation_Mini_Ce</vt:lpstr>
      <vt:lpstr>Esteira Ergomé</vt:lpstr>
      <vt:lpstr>Eletrocardiógrafo</vt:lpstr>
      <vt:lpstr>Esteira ergómetrica</vt:lpstr>
      <vt:lpstr>Eletrocautério + Bisturi</vt:lpstr>
      <vt:lpstr>Estufa e Aquecedores em geral</vt:lpstr>
      <vt:lpstr>Micropipetas</vt:lpstr>
      <vt:lpstr>Termohigrômetro e Termômetro</vt:lpstr>
      <vt:lpstr>Nexxto</vt:lpstr>
      <vt:lpstr>Sensor Câmara_Freezer</vt:lpstr>
      <vt:lpstr>Bombas Infusão e Seringa</vt:lpstr>
      <vt:lpstr>Ventilador pulmonar e Aut fluxo</vt:lpstr>
      <vt:lpstr>Incubadora Neonatal</vt:lpstr>
      <vt:lpstr>Laser Vermelho e Infravermelho</vt:lpstr>
      <vt:lpstr>Espirômetro</vt:lpstr>
      <vt:lpstr>Balanças!Area_de_impressao</vt:lpstr>
      <vt:lpstr>'Bombas Infusão e Seringa'!Area_de_impressao</vt:lpstr>
      <vt:lpstr>'Cardioversor e DEA'!Area_de_impressao</vt:lpstr>
      <vt:lpstr>Centrífugas_Workstation_Mini_Ce!Area_de_impressao</vt:lpstr>
      <vt:lpstr>Eletrocardiógrafo!Area_de_impressao</vt:lpstr>
      <vt:lpstr>'Eletrocautério + Bisturi'!Area_de_impressao</vt:lpstr>
      <vt:lpstr>'Esfigmo Dig + Esfigmo Analogico'!Area_de_impressao</vt:lpstr>
      <vt:lpstr>Espirômetro!Area_de_impressao</vt:lpstr>
      <vt:lpstr>'Esteira Ergomé'!Area_de_impressao</vt:lpstr>
      <vt:lpstr>'Estufa e Aquecedores em geral'!Area_de_impressao</vt:lpstr>
      <vt:lpstr>'Incubadora Neonatal'!Area_de_impressao</vt:lpstr>
      <vt:lpstr>'Laser Vermelho e Infravermelho'!Area_de_impressao</vt:lpstr>
      <vt:lpstr>Micropipetas!Area_de_impressao</vt:lpstr>
      <vt:lpstr>'Monitor Multi + Monitor Triagem'!Area_de_impressao</vt:lpstr>
      <vt:lpstr>Nexxto!Area_de_impressao</vt:lpstr>
      <vt:lpstr>'Oxímetro de pulso'!Area_de_impressao</vt:lpstr>
      <vt:lpstr>'Sensor Câmara_Freezer'!Area_de_impressao</vt:lpstr>
      <vt:lpstr>'Termohigrômetro e Termômetro'!Area_de_impressao</vt:lpstr>
      <vt:lpstr>'Ventilador pulmonar e Aut fluxo'!Area_de_impressao</vt:lpstr>
    </vt:vector>
  </TitlesOfParts>
  <Manager/>
  <Company>Unimed Porto Alegre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Iriane Prado de Santis</dc:creator>
  <cp:keywords/>
  <dc:description/>
  <cp:lastModifiedBy>Vinicius Nascimento Machado</cp:lastModifiedBy>
  <cp:lastPrinted>2025-07-23T13:20:57Z</cp:lastPrinted>
  <dcterms:created xsi:type="dcterms:W3CDTF">2025-03-28T13:11:03Z</dcterms:created>
  <dcterms:modified xsi:type="dcterms:W3CDTF">2026-10-13T20:13:57Z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8f32e1-08e7-4d25-af77-74969178c833_Enabled">
    <vt:lpwstr>true</vt:lpwstr>
  </property>
  <property fmtid="{D5CDD505-2E9C-101B-9397-08002B2CF9AE}" pid="3" name="MSIP_Label_548f32e1-08e7-4d25-af77-74969178c833_SetDate">
    <vt:lpwstr>2025-03-28T14:01:22Z</vt:lpwstr>
  </property>
  <property fmtid="{D5CDD505-2E9C-101B-9397-08002B2CF9AE}" pid="4" name="MSIP_Label_548f32e1-08e7-4d25-af77-74969178c833_Method">
    <vt:lpwstr>Standard</vt:lpwstr>
  </property>
  <property fmtid="{D5CDD505-2E9C-101B-9397-08002B2CF9AE}" pid="5" name="MSIP_Label_548f32e1-08e7-4d25-af77-74969178c833_Name">
    <vt:lpwstr>Interna</vt:lpwstr>
  </property>
  <property fmtid="{D5CDD505-2E9C-101B-9397-08002B2CF9AE}" pid="6" name="MSIP_Label_548f32e1-08e7-4d25-af77-74969178c833_SiteId">
    <vt:lpwstr>062096f2-76c0-4ed8-b8bf-6644178496b2</vt:lpwstr>
  </property>
  <property fmtid="{D5CDD505-2E9C-101B-9397-08002B2CF9AE}" pid="7" name="MSIP_Label_548f32e1-08e7-4d25-af77-74969178c833_ActionId">
    <vt:lpwstr>4b76e56f-e7a8-4281-a4f9-7f9b4aed6b98</vt:lpwstr>
  </property>
  <property fmtid="{D5CDD505-2E9C-101B-9397-08002B2CF9AE}" pid="8" name="MSIP_Label_548f32e1-08e7-4d25-af77-74969178c833_ContentBits">
    <vt:lpwstr>2</vt:lpwstr>
  </property>
</Properties>
</file>